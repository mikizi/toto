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alc" sheetId="2" state="visible" r:id="rId4"/>
    <sheet name="001_MikiZiso3" sheetId="3" state="visible" r:id="rId5"/>
    <sheet name="002_MikiZiso2" sheetId="4" state="visible" r:id="rId6"/>
    <sheet name="003_Miki_Ziso" sheetId="5" state="visible" r:id="rId7"/>
    <sheet name="004_Nir1" sheetId="6" state="visible" r:id="rId8"/>
    <sheet name="005_Nir2" sheetId="7" state="visible" r:id="rId9"/>
    <sheet name="006_Nir3" sheetId="8" state="visible" r:id="rId10"/>
  </sheets>
  <definedNames>
    <definedName function="false" hidden="false" name="db_fifarank" vbProcedure="false">#REF!</definedName>
    <definedName function="false" hidden="false" name="gmt_delta" vbProcedure="false">#REF!</definedName>
    <definedName function="false" hidden="false" name="group_round_completed" vbProcedure="false">#REF!</definedName>
    <definedName function="false" hidden="false" name="lang" vbProcedure="false">#REF!</definedName>
    <definedName function="false" hidden="false" name="lang_list" vbProcedure="false">#REF!</definedName>
    <definedName function="false" hidden="false" name="my_team" vbProcedure="false">#REF!</definedName>
    <definedName function="false" hidden="false" name="T" vbProcedure="false">#REF!</definedName>
    <definedName function="false" hidden="false" name="teams" vbProcedure="false">#REF!</definedName>
    <definedName function="false" hidden="false" localSheetId="4" name="db_fifarank" vbProcedure="false">#REF!</definedName>
    <definedName function="false" hidden="false" localSheetId="4" name="gmt_delta" vbProcedure="false">#REF!</definedName>
    <definedName function="false" hidden="false" localSheetId="4" name="group_round_completed" vbProcedure="false">#REF!</definedName>
    <definedName function="false" hidden="false" localSheetId="4" name="lang" vbProcedure="false">#REF!</definedName>
    <definedName function="false" hidden="false" localSheetId="4" name="lang_list" vbProcedure="false">#REF!</definedName>
    <definedName function="false" hidden="false" localSheetId="4" name="my_team" vbProcedure="false">#REF!</definedName>
    <definedName function="false" hidden="false" localSheetId="4" name="T" vbProcedure="false">#REF!</definedName>
    <definedName function="false" hidden="false" localSheetId="4" name="team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<sst xmlns="http://schemas.openxmlformats.org/spreadsheetml/2006/main" count="5548" uniqueCount="558">
  <si>
    <t xml:space="preserve">Name</t>
  </si>
  <si>
    <t xml:space="preserve">Winnwer</t>
  </si>
  <si>
    <t xml:space="preserve">Score</t>
  </si>
  <si>
    <t xml:space="preserve">Reward</t>
  </si>
  <si>
    <t xml:space="preserve">1st Round</t>
  </si>
  <si>
    <t xml:space="preserve">Actual Scores</t>
  </si>
  <si>
    <t xml:space="preserve">Round of 32</t>
  </si>
  <si>
    <t xml:space="preserve">Round of 16</t>
  </si>
  <si>
    <t xml:space="preserve">Mexico-South Africa</t>
  </si>
  <si>
    <t xml:space="preserve">Korea Republic-Czech Republic</t>
  </si>
  <si>
    <t xml:space="preserve">Canada-Bosnia and Herzegovina</t>
  </si>
  <si>
    <t xml:space="preserve">United States-Paraguay</t>
  </si>
  <si>
    <t xml:space="preserve">Haiti-Scotland</t>
  </si>
  <si>
    <t xml:space="preserve">Australia-Turkey</t>
  </si>
  <si>
    <t xml:space="preserve">Brazil-Morocco</t>
  </si>
  <si>
    <t xml:space="preserve">Qatar-Switzerland</t>
  </si>
  <si>
    <t xml:space="preserve">Ivory Coast-Ecuador</t>
  </si>
  <si>
    <t xml:space="preserve">Germany-Curaçao</t>
  </si>
  <si>
    <t xml:space="preserve">Netherlands-Japan</t>
  </si>
  <si>
    <t xml:space="preserve">Sweden-Tunisia</t>
  </si>
  <si>
    <t xml:space="preserve">Saudi Arabia-Uruguay</t>
  </si>
  <si>
    <t xml:space="preserve">Spain-Cape Verde</t>
  </si>
  <si>
    <t xml:space="preserve">Iran-New Zealand</t>
  </si>
  <si>
    <t xml:space="preserve">Belgium-Egypt</t>
  </si>
  <si>
    <t xml:space="preserve">France-Senegal</t>
  </si>
  <si>
    <t xml:space="preserve">Iraq-Norway</t>
  </si>
  <si>
    <t xml:space="preserve">Quarterfinals</t>
  </si>
  <si>
    <t xml:space="preserve">Argentina-Algeria</t>
  </si>
  <si>
    <t xml:space="preserve">Austria-Jordan</t>
  </si>
  <si>
    <t xml:space="preserve">Ghana-Panama</t>
  </si>
  <si>
    <t xml:space="preserve">England-Croatia</t>
  </si>
  <si>
    <t xml:space="preserve">Portugal-DR Congo</t>
  </si>
  <si>
    <t xml:space="preserve">Uzbekistan-Colombia</t>
  </si>
  <si>
    <t xml:space="preserve">Czech Republic-South Africa</t>
  </si>
  <si>
    <t xml:space="preserve">Switzerland-Bosnia and Herzegovina</t>
  </si>
  <si>
    <t xml:space="preserve">Canada-Qatar</t>
  </si>
  <si>
    <t xml:space="preserve">Mexico-Korea Republic</t>
  </si>
  <si>
    <t xml:space="preserve">Semi</t>
  </si>
  <si>
    <t xml:space="preserve">Brazil-Haiti</t>
  </si>
  <si>
    <t xml:space="preserve">Scotland-Morocco</t>
  </si>
  <si>
    <t xml:space="preserve">United States-Australia</t>
  </si>
  <si>
    <t xml:space="preserve">Turkey-Paraguay</t>
  </si>
  <si>
    <t xml:space="preserve">Germany-Ivory Coast</t>
  </si>
  <si>
    <t xml:space="preserve">Ecuador-Curaçao</t>
  </si>
  <si>
    <t xml:space="preserve">Final</t>
  </si>
  <si>
    <t xml:space="preserve">Netherlands-Sweden</t>
  </si>
  <si>
    <t xml:space="preserve">Tunisia-Japan</t>
  </si>
  <si>
    <t xml:space="preserve">Uruguay-Cape Verde</t>
  </si>
  <si>
    <t xml:space="preserve">Spain-Saudi Arabia</t>
  </si>
  <si>
    <t xml:space="preserve">Winner</t>
  </si>
  <si>
    <t xml:space="preserve">Belgium-Iran</t>
  </si>
  <si>
    <t xml:space="preserve">New Zealand-Egypt</t>
  </si>
  <si>
    <t xml:space="preserve">Norway-Senegal</t>
  </si>
  <si>
    <t xml:space="preserve">France-Iraq</t>
  </si>
  <si>
    <t xml:space="preserve">Argentina-Austria</t>
  </si>
  <si>
    <t xml:space="preserve">Jordan-Algeria</t>
  </si>
  <si>
    <t xml:space="preserve">England-Ghana</t>
  </si>
  <si>
    <t xml:space="preserve">Panama-Croatia</t>
  </si>
  <si>
    <t xml:space="preserve">Portugal-Uzbekistan</t>
  </si>
  <si>
    <t xml:space="preserve">Colombia-DR Congo</t>
  </si>
  <si>
    <t xml:space="preserve">Scotland-Brazil</t>
  </si>
  <si>
    <t xml:space="preserve">Morocco-Haiti</t>
  </si>
  <si>
    <t xml:space="preserve">Switzerland-Canada</t>
  </si>
  <si>
    <t xml:space="preserve">Bosnia and Herzegovina-Qatar</t>
  </si>
  <si>
    <t xml:space="preserve">Czech Republic-Mexico</t>
  </si>
  <si>
    <t xml:space="preserve">South Africa-Korea Republic</t>
  </si>
  <si>
    <t xml:space="preserve">Curaçao-Ivory Coast</t>
  </si>
  <si>
    <t xml:space="preserve">Ecuador-Germany</t>
  </si>
  <si>
    <t xml:space="preserve">Japan-Sweden</t>
  </si>
  <si>
    <t xml:space="preserve">Tunisia-Netherlands</t>
  </si>
  <si>
    <t xml:space="preserve">Turkey-United States</t>
  </si>
  <si>
    <t xml:space="preserve">Paraguay-Australia</t>
  </si>
  <si>
    <t xml:space="preserve">Norway-France</t>
  </si>
  <si>
    <t xml:space="preserve">Senegal-Iraq</t>
  </si>
  <si>
    <t xml:space="preserve">Egypt-Iran</t>
  </si>
  <si>
    <t xml:space="preserve">New Zealand-Belgium</t>
  </si>
  <si>
    <t xml:space="preserve">Cape Verde-Saudi Arabia</t>
  </si>
  <si>
    <t xml:space="preserve">Uruguay-Spain</t>
  </si>
  <si>
    <t xml:space="preserve">Panama-England</t>
  </si>
  <si>
    <t xml:space="preserve">Croatia-Ghana</t>
  </si>
  <si>
    <t xml:space="preserve">Algeria-Austria</t>
  </si>
  <si>
    <t xml:space="preserve">Jordan-Argentina</t>
  </si>
  <si>
    <t xml:space="preserve">Colombia-Portugal</t>
  </si>
  <si>
    <t xml:space="preserve">DR Congo-Uzbekistan</t>
  </si>
  <si>
    <t xml:space="preserve">#</t>
  </si>
  <si>
    <t xml:space="preserve">winnwer</t>
  </si>
  <si>
    <t xml:space="preserve">Real Rank</t>
  </si>
  <si>
    <t xml:space="preserve">Rank</t>
  </si>
  <si>
    <t xml:space="preserve">001</t>
  </si>
  <si>
    <t xml:space="preserve">MikiZiso3</t>
  </si>
  <si>
    <t xml:space="preserve">002</t>
  </si>
  <si>
    <t xml:space="preserve">MikiZiso2</t>
  </si>
  <si>
    <t xml:space="preserve">003</t>
  </si>
  <si>
    <t xml:space="preserve">Miki_Ziso</t>
  </si>
  <si>
    <t xml:space="preserve">004</t>
  </si>
  <si>
    <t xml:space="preserve">Nir1</t>
  </si>
  <si>
    <t xml:space="preserve">005</t>
  </si>
  <si>
    <t xml:space="preserve">Nir2</t>
  </si>
  <si>
    <t xml:space="preserve">006</t>
  </si>
  <si>
    <t xml:space="preserve">Nir3</t>
  </si>
  <si>
    <t xml:space="preserve">007</t>
  </si>
  <si>
    <t xml:space="preserve">test1</t>
  </si>
  <si>
    <t xml:space="preserve">008</t>
  </si>
  <si>
    <t xml:space="preserve">test2</t>
  </si>
  <si>
    <t xml:space="preserve">009</t>
  </si>
  <si>
    <t xml:space="preserve">test3</t>
  </si>
  <si>
    <t xml:space="preserve">010</t>
  </si>
  <si>
    <t xml:space="preserve">test4</t>
  </si>
  <si>
    <t xml:space="preserve">011</t>
  </si>
  <si>
    <t xml:space="preserve">test5</t>
  </si>
  <si>
    <t xml:space="preserve">012</t>
  </si>
  <si>
    <t xml:space="preserve">test6</t>
  </si>
  <si>
    <t xml:space="preserve">013</t>
  </si>
  <si>
    <t xml:space="preserve">test7</t>
  </si>
  <si>
    <t xml:space="preserve">014</t>
  </si>
  <si>
    <t xml:space="preserve">test8</t>
  </si>
  <si>
    <t xml:space="preserve">015</t>
  </si>
  <si>
    <t xml:space="preserve">test9</t>
  </si>
  <si>
    <t xml:space="preserve">016</t>
  </si>
  <si>
    <t xml:space="preserve">test10</t>
  </si>
  <si>
    <t xml:space="preserve">017</t>
  </si>
  <si>
    <t xml:space="preserve">test11</t>
  </si>
  <si>
    <t xml:space="preserve">018</t>
  </si>
  <si>
    <t xml:space="preserve">test12</t>
  </si>
  <si>
    <t xml:space="preserve">019</t>
  </si>
  <si>
    <t xml:space="preserve">test13</t>
  </si>
  <si>
    <t xml:space="preserve">020</t>
  </si>
  <si>
    <t xml:space="preserve">test14</t>
  </si>
  <si>
    <t xml:space="preserve">021</t>
  </si>
  <si>
    <t xml:space="preserve">test15</t>
  </si>
  <si>
    <t xml:space="preserve">022</t>
  </si>
  <si>
    <t xml:space="preserve">test16</t>
  </si>
  <si>
    <t xml:space="preserve">023</t>
  </si>
  <si>
    <t xml:space="preserve">test17</t>
  </si>
  <si>
    <t xml:space="preserve">024</t>
  </si>
  <si>
    <t xml:space="preserve">test18</t>
  </si>
  <si>
    <t xml:space="preserve">025</t>
  </si>
  <si>
    <t xml:space="preserve">test19</t>
  </si>
  <si>
    <t xml:space="preserve">026</t>
  </si>
  <si>
    <t xml:space="preserve">test20</t>
  </si>
  <si>
    <t xml:space="preserve">027</t>
  </si>
  <si>
    <t xml:space="preserve">test21</t>
  </si>
  <si>
    <t xml:space="preserve">028</t>
  </si>
  <si>
    <t xml:space="preserve">test22</t>
  </si>
  <si>
    <t xml:space="preserve">029</t>
  </si>
  <si>
    <t xml:space="preserve">test23</t>
  </si>
  <si>
    <t xml:space="preserve">030</t>
  </si>
  <si>
    <t xml:space="preserve">test24</t>
  </si>
  <si>
    <t xml:space="preserve">031</t>
  </si>
  <si>
    <t xml:space="preserve">test25</t>
  </si>
  <si>
    <t xml:space="preserve">032</t>
  </si>
  <si>
    <t xml:space="preserve">test26</t>
  </si>
  <si>
    <t xml:space="preserve">033</t>
  </si>
  <si>
    <t xml:space="preserve">test27</t>
  </si>
  <si>
    <t xml:space="preserve">034</t>
  </si>
  <si>
    <t xml:space="preserve">test28</t>
  </si>
  <si>
    <t xml:space="preserve">035</t>
  </si>
  <si>
    <t xml:space="preserve">test29</t>
  </si>
  <si>
    <t xml:space="preserve">036</t>
  </si>
  <si>
    <t xml:space="preserve">test30</t>
  </si>
  <si>
    <t xml:space="preserve">037</t>
  </si>
  <si>
    <t xml:space="preserve">test31</t>
  </si>
  <si>
    <t xml:space="preserve">038</t>
  </si>
  <si>
    <t xml:space="preserve">test32</t>
  </si>
  <si>
    <t xml:space="preserve">039</t>
  </si>
  <si>
    <t xml:space="preserve">test33</t>
  </si>
  <si>
    <t xml:space="preserve">040</t>
  </si>
  <si>
    <t xml:space="preserve">test34</t>
  </si>
  <si>
    <t xml:space="preserve">041</t>
  </si>
  <si>
    <t xml:space="preserve">test35</t>
  </si>
  <si>
    <t xml:space="preserve">042</t>
  </si>
  <si>
    <t xml:space="preserve">test36</t>
  </si>
  <si>
    <t xml:space="preserve">043</t>
  </si>
  <si>
    <t xml:space="preserve">test37</t>
  </si>
  <si>
    <t xml:space="preserve">044</t>
  </si>
  <si>
    <t xml:space="preserve">test38</t>
  </si>
  <si>
    <t xml:space="preserve">045</t>
  </si>
  <si>
    <t xml:space="preserve">test39</t>
  </si>
  <si>
    <t xml:space="preserve">046</t>
  </si>
  <si>
    <t xml:space="preserve">test40</t>
  </si>
  <si>
    <t xml:space="preserve">047</t>
  </si>
  <si>
    <t xml:space="preserve">test41</t>
  </si>
  <si>
    <t xml:space="preserve">048</t>
  </si>
  <si>
    <t xml:space="preserve">test42</t>
  </si>
  <si>
    <t xml:space="preserve">049</t>
  </si>
  <si>
    <t xml:space="preserve">test43</t>
  </si>
  <si>
    <t xml:space="preserve">050</t>
  </si>
  <si>
    <t xml:space="preserve">test44</t>
  </si>
  <si>
    <t xml:space="preserve">051</t>
  </si>
  <si>
    <t xml:space="preserve">test45</t>
  </si>
  <si>
    <t xml:space="preserve">052</t>
  </si>
  <si>
    <t xml:space="preserve">test46</t>
  </si>
  <si>
    <t xml:space="preserve">053</t>
  </si>
  <si>
    <t xml:space="preserve">test47</t>
  </si>
  <si>
    <t xml:space="preserve">054</t>
  </si>
  <si>
    <t xml:space="preserve">test48</t>
  </si>
  <si>
    <t xml:space="preserve">055</t>
  </si>
  <si>
    <t xml:space="preserve">test49</t>
  </si>
  <si>
    <t xml:space="preserve">056</t>
  </si>
  <si>
    <t xml:space="preserve">test50</t>
  </si>
  <si>
    <t xml:space="preserve">057</t>
  </si>
  <si>
    <t xml:space="preserve">test51</t>
  </si>
  <si>
    <t xml:space="preserve">058</t>
  </si>
  <si>
    <t xml:space="preserve">test52</t>
  </si>
  <si>
    <t xml:space="preserve">059</t>
  </si>
  <si>
    <t xml:space="preserve">test53</t>
  </si>
  <si>
    <t xml:space="preserve">060</t>
  </si>
  <si>
    <t xml:space="preserve">test54</t>
  </si>
  <si>
    <t xml:space="preserve">061</t>
  </si>
  <si>
    <t xml:space="preserve">test55</t>
  </si>
  <si>
    <t xml:space="preserve">062</t>
  </si>
  <si>
    <t xml:space="preserve">test56</t>
  </si>
  <si>
    <t xml:space="preserve">063</t>
  </si>
  <si>
    <t xml:space="preserve">test57</t>
  </si>
  <si>
    <t xml:space="preserve">064</t>
  </si>
  <si>
    <t xml:space="preserve">test58</t>
  </si>
  <si>
    <t xml:space="preserve">065</t>
  </si>
  <si>
    <t xml:space="preserve">test59</t>
  </si>
  <si>
    <t xml:space="preserve">066</t>
  </si>
  <si>
    <t xml:space="preserve">test60</t>
  </si>
  <si>
    <t xml:space="preserve">067</t>
  </si>
  <si>
    <t xml:space="preserve">test61</t>
  </si>
  <si>
    <t xml:space="preserve">068</t>
  </si>
  <si>
    <t xml:space="preserve">test62</t>
  </si>
  <si>
    <t xml:space="preserve">069</t>
  </si>
  <si>
    <t xml:space="preserve">test63</t>
  </si>
  <si>
    <t xml:space="preserve">070</t>
  </si>
  <si>
    <t xml:space="preserve">test64</t>
  </si>
  <si>
    <t xml:space="preserve">Sheet Name</t>
  </si>
  <si>
    <t xml:space="preserve">tot Score</t>
  </si>
  <si>
    <t xml:space="preserve">1st round</t>
  </si>
  <si>
    <t xml:space="preserve">sum 1st round</t>
  </si>
  <si>
    <t xml:space="preserve"># of accurate</t>
  </si>
  <si>
    <t xml:space="preserve">EURO</t>
  </si>
  <si>
    <t xml:space="preserve">Score/points</t>
  </si>
  <si>
    <t xml:space="preserve">extras</t>
  </si>
  <si>
    <t xml:space="preserve">Sum</t>
  </si>
  <si>
    <t xml:space="preserve">avr</t>
  </si>
  <si>
    <t xml:space="preserve">max</t>
  </si>
  <si>
    <t xml:space="preserve">min</t>
  </si>
  <si>
    <t xml:space="preserve">delta</t>
  </si>
  <si>
    <t xml:space="preserve">delta points</t>
  </si>
  <si>
    <t xml:space="preserve">1X2</t>
  </si>
  <si>
    <t xml:space="preserve">Actual success-Statistic</t>
  </si>
  <si>
    <t xml:space="preserve">Avrerage</t>
  </si>
  <si>
    <t xml:space="preserve">Minimum</t>
  </si>
  <si>
    <t xml:space="preserve">Maximum</t>
  </si>
  <si>
    <t xml:space="preserve">accurate</t>
  </si>
  <si>
    <t xml:space="preserve">Success</t>
  </si>
  <si>
    <t xml:space="preserve">%</t>
  </si>
  <si>
    <t xml:space="preserve">delta max-min</t>
  </si>
  <si>
    <t xml:space="preserve">1st round- # of accurates</t>
  </si>
  <si>
    <t xml:space="preserve">final</t>
  </si>
  <si>
    <t xml:space="preserve">Finals</t>
  </si>
  <si>
    <t xml:space="preserve">winner</t>
  </si>
  <si>
    <t xml:space="preserve">Statistic</t>
  </si>
  <si>
    <t xml:space="preserve">List of teams</t>
  </si>
  <si>
    <t xml:space="preserve">France</t>
  </si>
  <si>
    <t xml:space="preserve">Spain</t>
  </si>
  <si>
    <t xml:space="preserve">Argentina</t>
  </si>
  <si>
    <t xml:space="preserve">England</t>
  </si>
  <si>
    <t xml:space="preserve">Portugal</t>
  </si>
  <si>
    <t xml:space="preserve">Brazil</t>
  </si>
  <si>
    <t xml:space="preserve">Netherlands</t>
  </si>
  <si>
    <t xml:space="preserve">Morocco</t>
  </si>
  <si>
    <t xml:space="preserve">Belgium</t>
  </si>
  <si>
    <t xml:space="preserve">Germany</t>
  </si>
  <si>
    <t xml:space="preserve">Croatia</t>
  </si>
  <si>
    <t xml:space="preserve">Colombia</t>
  </si>
  <si>
    <t xml:space="preserve">Senegal</t>
  </si>
  <si>
    <t xml:space="preserve">Mexico</t>
  </si>
  <si>
    <t xml:space="preserve">United States</t>
  </si>
  <si>
    <t xml:space="preserve">Uruguay</t>
  </si>
  <si>
    <t xml:space="preserve">Japan</t>
  </si>
  <si>
    <t xml:space="preserve">Switzerland</t>
  </si>
  <si>
    <t xml:space="preserve">Iran</t>
  </si>
  <si>
    <t xml:space="preserve">Turkey</t>
  </si>
  <si>
    <t xml:space="preserve">Ecuador</t>
  </si>
  <si>
    <t xml:space="preserve">Austria</t>
  </si>
  <si>
    <t xml:space="preserve">Korea Republic</t>
  </si>
  <si>
    <t xml:space="preserve">Australia</t>
  </si>
  <si>
    <t xml:space="preserve">Algeria</t>
  </si>
  <si>
    <t xml:space="preserve">Egypt</t>
  </si>
  <si>
    <t xml:space="preserve">Canada</t>
  </si>
  <si>
    <t xml:space="preserve">Norway</t>
  </si>
  <si>
    <t xml:space="preserve">Panama</t>
  </si>
  <si>
    <t xml:space="preserve">Ivory Coast</t>
  </si>
  <si>
    <t xml:space="preserve">Sweden</t>
  </si>
  <si>
    <t xml:space="preserve">Paraguay</t>
  </si>
  <si>
    <t xml:space="preserve">Czech Republic</t>
  </si>
  <si>
    <t xml:space="preserve">Scotland</t>
  </si>
  <si>
    <t xml:space="preserve">Tunisia</t>
  </si>
  <si>
    <t xml:space="preserve">DR Congo</t>
  </si>
  <si>
    <t xml:space="preserve">Uzbekistan</t>
  </si>
  <si>
    <t xml:space="preserve">Qatar</t>
  </si>
  <si>
    <t xml:space="preserve">Iraq</t>
  </si>
  <si>
    <t xml:space="preserve">South Africa</t>
  </si>
  <si>
    <t xml:space="preserve">Saudi Arabia</t>
  </si>
  <si>
    <t xml:space="preserve">Jordan</t>
  </si>
  <si>
    <t xml:space="preserve">Bosnia and Herzegovina</t>
  </si>
  <si>
    <t xml:space="preserve">Cape Verde</t>
  </si>
  <si>
    <t xml:space="preserve">Ghana</t>
  </si>
  <si>
    <t xml:space="preserve">Curaçao</t>
  </si>
  <si>
    <t xml:space="preserve">Haiti</t>
  </si>
  <si>
    <t xml:space="preserve">New Zealand</t>
  </si>
  <si>
    <t xml:space="preserve">Gemblers</t>
  </si>
  <si>
    <t xml:space="preserve">miki ziso 3</t>
  </si>
  <si>
    <t xml:space="preserve">Language: English</t>
  </si>
  <si>
    <t xml:space="preserve">Group Stage</t>
  </si>
  <si>
    <t xml:space="preserve">Home Page: www.excely.com</t>
  </si>
  <si>
    <t xml:space="preserve">http://www.excely.com/ice-hockey/world-cup-2009-schedule/</t>
  </si>
  <si>
    <t xml:space="preserve">http://www.excely.com/football/2026-fifa-world-cup-schedule.html</t>
  </si>
  <si>
    <t xml:space="preserve">Date + Time + GMT</t>
  </si>
  <si>
    <t xml:space="preserve">GF</t>
  </si>
  <si>
    <t xml:space="preserve">GA</t>
  </si>
  <si>
    <t xml:space="preserve">Place</t>
  </si>
  <si>
    <t xml:space="preserve">Team</t>
  </si>
  <si>
    <t xml:space="preserve">W</t>
  </si>
  <si>
    <t xml:space="preserve">D</t>
  </si>
  <si>
    <t xml:space="preserve">L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</si>
  <si>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</si>
  <si>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</si>
  <si>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</si>
  <si>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</si>
  <si>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</si>
  <si>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</si>
  <si>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 (norm)</t>
  </si>
  <si>
    <t xml:space="preserve">Semi-Finals</t>
  </si>
  <si>
    <t xml:space="preserve">Thu</t>
  </si>
  <si>
    <t xml:space="preserve">Jun 11, 2026</t>
  </si>
  <si>
    <t xml:space="preserve">Fri</t>
  </si>
  <si>
    <t xml:space="preserve">Jun 12, 2026</t>
  </si>
  <si>
    <t xml:space="preserve">Group A</t>
  </si>
  <si>
    <t xml:space="preserve">PL</t>
  </si>
  <si>
    <t xml:space="preserve">DRAW</t>
  </si>
  <si>
    <t xml:space="preserve">GF - GA</t>
  </si>
  <si>
    <t xml:space="preserve">PNT</t>
  </si>
  <si>
    <t xml:space="preserve">1A</t>
  </si>
  <si>
    <t xml:space="preserve">4 - 1</t>
  </si>
  <si>
    <t xml:space="preserve">2A</t>
  </si>
  <si>
    <t xml:space="preserve">Jun 29, 2026   20:30</t>
  </si>
  <si>
    <t xml:space="preserve">Sat</t>
  </si>
  <si>
    <t xml:space="preserve">Jun 13, 2026</t>
  </si>
  <si>
    <t xml:space="preserve">3 - 3</t>
  </si>
  <si>
    <t xml:space="preserve">Sun</t>
  </si>
  <si>
    <t xml:space="preserve">Jun 14, 2026</t>
  </si>
  <si>
    <t xml:space="preserve">Jul 4, 2026   21:00</t>
  </si>
  <si>
    <t xml:space="preserve">3 - 6</t>
  </si>
  <si>
    <t xml:space="preserve">Jun 30, 2026   21:00</t>
  </si>
  <si>
    <t xml:space="preserve">Group B</t>
  </si>
  <si>
    <t xml:space="preserve">1B</t>
  </si>
  <si>
    <t xml:space="preserve">5 - 2</t>
  </si>
  <si>
    <t xml:space="preserve">2B</t>
  </si>
  <si>
    <t xml:space="preserve">Jul 9, 2026   20:00</t>
  </si>
  <si>
    <t xml:space="preserve">4 - 3</t>
  </si>
  <si>
    <t xml:space="preserve">3 - 5</t>
  </si>
  <si>
    <t xml:space="preserve">Jun 28, 2026   19:00</t>
  </si>
  <si>
    <t xml:space="preserve">Mon</t>
  </si>
  <si>
    <t xml:space="preserve">Jun 15, 2026</t>
  </si>
  <si>
    <t xml:space="preserve">4 - 6</t>
  </si>
  <si>
    <t xml:space="preserve">Jul 4, 2026   17:00</t>
  </si>
  <si>
    <t xml:space="preserve">Group C</t>
  </si>
  <si>
    <t xml:space="preserve">1C</t>
  </si>
  <si>
    <t xml:space="preserve">Tue</t>
  </si>
  <si>
    <t xml:space="preserve">Jun 16, 2026</t>
  </si>
  <si>
    <t xml:space="preserve">9 - 2</t>
  </si>
  <si>
    <t xml:space="preserve">2C</t>
  </si>
  <si>
    <t xml:space="preserve">Jun 30, 2026   01:00</t>
  </si>
  <si>
    <t xml:space="preserve">5 - 3</t>
  </si>
  <si>
    <t xml:space="preserve">Jul 14, 2026   19:00</t>
  </si>
  <si>
    <t xml:space="preserve">1 - 10</t>
  </si>
  <si>
    <t xml:space="preserve">Wed</t>
  </si>
  <si>
    <t xml:space="preserve">Jun 17, 2026</t>
  </si>
  <si>
    <t xml:space="preserve">Jul 2, 2026   23:00</t>
  </si>
  <si>
    <t xml:space="preserve">Group D</t>
  </si>
  <si>
    <t xml:space="preserve">1D</t>
  </si>
  <si>
    <t xml:space="preserve">6 - 2</t>
  </si>
  <si>
    <t xml:space="preserve">2D</t>
  </si>
  <si>
    <t xml:space="preserve">Jul 6, 2026   19:00</t>
  </si>
  <si>
    <t xml:space="preserve">2 - 4</t>
  </si>
  <si>
    <t xml:space="preserve">Jul 2, 2026   19:00</t>
  </si>
  <si>
    <t xml:space="preserve">Jun 18, 2026</t>
  </si>
  <si>
    <t xml:space="preserve">0 - 5</t>
  </si>
  <si>
    <t xml:space="preserve">Jul 10, 2026   19:00</t>
  </si>
  <si>
    <t xml:space="preserve">Group E</t>
  </si>
  <si>
    <t xml:space="preserve">1E</t>
  </si>
  <si>
    <t xml:space="preserve">2E</t>
  </si>
  <si>
    <t xml:space="preserve">Jul 2, 2026   00:00</t>
  </si>
  <si>
    <t xml:space="preserve">Jun 19, 2026</t>
  </si>
  <si>
    <t xml:space="preserve">5 - 5</t>
  </si>
  <si>
    <t xml:space="preserve">Jun 20, 2026</t>
  </si>
  <si>
    <t xml:space="preserve">2 - 7</t>
  </si>
  <si>
    <t xml:space="preserve">Jul 7, 2026   00:00</t>
  </si>
  <si>
    <t xml:space="preserve">Jul 19, 2026   19:00</t>
  </si>
  <si>
    <t xml:space="preserve">Jul 1, 2026   20:00</t>
  </si>
  <si>
    <t xml:space="preserve">Group F</t>
  </si>
  <si>
    <t xml:space="preserve">1F</t>
  </si>
  <si>
    <t xml:space="preserve">5 - 0</t>
  </si>
  <si>
    <t xml:space="preserve">2F</t>
  </si>
  <si>
    <t xml:space="preserve">Jun 21, 2026</t>
  </si>
  <si>
    <t xml:space="preserve">3 - 2</t>
  </si>
  <si>
    <t xml:space="preserve">Jun 29, 2026   17:00</t>
  </si>
  <si>
    <t xml:space="preserve">1 - 5</t>
  </si>
  <si>
    <t xml:space="preserve">Jul 5, 2026   20:00</t>
  </si>
  <si>
    <t xml:space="preserve">Group G</t>
  </si>
  <si>
    <t xml:space="preserve">1G</t>
  </si>
  <si>
    <t xml:space="preserve">7 - 5</t>
  </si>
  <si>
    <t xml:space="preserve">2G</t>
  </si>
  <si>
    <t xml:space="preserve">Jun 30, 2026   17:00</t>
  </si>
  <si>
    <t xml:space="preserve">Jun 22, 2026</t>
  </si>
  <si>
    <t xml:space="preserve">Jun 23, 2026</t>
  </si>
  <si>
    <t xml:space="preserve">4 - 5</t>
  </si>
  <si>
    <t xml:space="preserve">Jul 11, 2026   21:00</t>
  </si>
  <si>
    <t xml:space="preserve">2 - 6</t>
  </si>
  <si>
    <t xml:space="preserve">Jul 1, 2026   01:00</t>
  </si>
  <si>
    <t xml:space="preserve">Group H</t>
  </si>
  <si>
    <t xml:space="preserve">1H</t>
  </si>
  <si>
    <t xml:space="preserve">4 - 0</t>
  </si>
  <si>
    <t xml:space="preserve">2H</t>
  </si>
  <si>
    <t xml:space="preserve">Jul 6, 2026   00:00</t>
  </si>
  <si>
    <t xml:space="preserve">2 - 2</t>
  </si>
  <si>
    <t xml:space="preserve">1 - 2</t>
  </si>
  <si>
    <t xml:space="preserve">Jul 1, 2026   16:00</t>
  </si>
  <si>
    <t xml:space="preserve">Jun 24, 2026</t>
  </si>
  <si>
    <t xml:space="preserve">0 - 3</t>
  </si>
  <si>
    <t xml:space="preserve">Jul 15, 2026   19:00</t>
  </si>
  <si>
    <t xml:space="preserve">Group I</t>
  </si>
  <si>
    <t xml:space="preserve">1I</t>
  </si>
  <si>
    <t xml:space="preserve">2I</t>
  </si>
  <si>
    <t xml:space="preserve">Jul 3, 2026   22:00</t>
  </si>
  <si>
    <t xml:space="preserve">Jun 25, 2026</t>
  </si>
  <si>
    <t xml:space="preserve">Jul 7, 2026   16:00</t>
  </si>
  <si>
    <t xml:space="preserve">Jul 3, 2026   18:00</t>
  </si>
  <si>
    <t xml:space="preserve">Group J</t>
  </si>
  <si>
    <t xml:space="preserve">1J</t>
  </si>
  <si>
    <t xml:space="preserve">2J</t>
  </si>
  <si>
    <t xml:space="preserve">Jul 12, 2026   01:00</t>
  </si>
  <si>
    <t xml:space="preserve">Jun 26, 2026</t>
  </si>
  <si>
    <t xml:space="preserve">2 - 3</t>
  </si>
  <si>
    <t xml:space="preserve">Jul 3, 2026   03:00</t>
  </si>
  <si>
    <t xml:space="preserve">0 - 4</t>
  </si>
  <si>
    <t xml:space="preserve">Jul 7, 2026   20:00</t>
  </si>
  <si>
    <t xml:space="preserve">Group K</t>
  </si>
  <si>
    <t xml:space="preserve">1K</t>
  </si>
  <si>
    <t xml:space="preserve">Jun 27, 2026</t>
  </si>
  <si>
    <t xml:space="preserve">2K</t>
  </si>
  <si>
    <t xml:space="preserve">Jul 4, 2026   01:30</t>
  </si>
  <si>
    <t xml:space="preserve">8 - 3</t>
  </si>
  <si>
    <t xml:space="preserve">1 - 3</t>
  </si>
  <si>
    <t xml:space="preserve">1 - 7</t>
  </si>
  <si>
    <t xml:space="preserve">Group L</t>
  </si>
  <si>
    <t xml:space="preserve">1L</t>
  </si>
  <si>
    <t xml:space="preserve">Jun 28, 2026</t>
  </si>
  <si>
    <t xml:space="preserve">6 - 3</t>
  </si>
  <si>
    <t xml:space="preserve">2L</t>
  </si>
  <si>
    <t xml:space="preserve">6 - 4</t>
  </si>
  <si>
    <t xml:space="preserve">3rd places</t>
  </si>
  <si>
    <t xml:space="preserve">3A</t>
  </si>
  <si>
    <t xml:space="preserve">A</t>
  </si>
  <si>
    <t xml:space="preserve">Ⓐ Czech Republic</t>
  </si>
  <si>
    <t xml:space="preserve">Ⓛ Ghana</t>
  </si>
  <si>
    <t xml:space="preserve">3B</t>
  </si>
  <si>
    <t xml:space="preserve">Ⓑ Qatar</t>
  </si>
  <si>
    <t xml:space="preserve">Ⓒ Scotland</t>
  </si>
  <si>
    <t xml:space="preserve">3C</t>
  </si>
  <si>
    <t xml:space="preserve">http://www.wallchart.io/football/world-cup-2026.html</t>
  </si>
  <si>
    <t xml:space="preserve">Ⓐ South Africa</t>
  </si>
  <si>
    <t xml:space="preserve">3D</t>
  </si>
  <si>
    <t xml:space="preserve">AD</t>
  </si>
  <si>
    <t xml:space="preserve">Ⓓ Australia</t>
  </si>
  <si>
    <t xml:space="preserve">Ⓖ New Zealand</t>
  </si>
  <si>
    <t xml:space="preserve">3E</t>
  </si>
  <si>
    <t xml:space="preserve">ADE</t>
  </si>
  <si>
    <t xml:space="preserve">Ⓔ Ivory Coast</t>
  </si>
  <si>
    <t xml:space="preserve">Ⓙ Algeria</t>
  </si>
  <si>
    <t xml:space="preserve">3F</t>
  </si>
  <si>
    <t xml:space="preserve">ADEF</t>
  </si>
  <si>
    <t xml:space="preserve">Ⓕ Sweden</t>
  </si>
  <si>
    <t xml:space="preserve">Ⓗ Saudi Arabia</t>
  </si>
  <si>
    <t xml:space="preserve">3G</t>
  </si>
  <si>
    <t xml:space="preserve">ADEFG</t>
  </si>
  <si>
    <t xml:space="preserve">Ⓖ Egypt</t>
  </si>
  <si>
    <t xml:space="preserve">3H</t>
  </si>
  <si>
    <t xml:space="preserve">3I</t>
  </si>
  <si>
    <t xml:space="preserve">ADEFGI</t>
  </si>
  <si>
    <t xml:space="preserve">Ⓘ Norway</t>
  </si>
  <si>
    <t xml:space="preserve">3J</t>
  </si>
  <si>
    <t xml:space="preserve">ADEFGIJ</t>
  </si>
  <si>
    <t xml:space="preserve">Ⓘ Iraq</t>
  </si>
  <si>
    <t xml:space="preserve">3K</t>
  </si>
  <si>
    <t xml:space="preserve">Ⓚ DR Congo</t>
  </si>
  <si>
    <t xml:space="preserve">Ⓔ Curaçao</t>
  </si>
  <si>
    <t xml:space="preserve">3L</t>
  </si>
  <si>
    <t xml:space="preserve">ADEFGIJL</t>
  </si>
  <si>
    <t xml:space="preserve">Ⓛ Panama</t>
  </si>
  <si>
    <t xml:space="preserve">Ⓚ Uzbekistan</t>
  </si>
  <si>
    <t xml:space="preserve">miki ziso 2</t>
  </si>
  <si>
    <t xml:space="preserve">3 - 4</t>
  </si>
  <si>
    <t xml:space="preserve">5 - 1</t>
  </si>
  <si>
    <t xml:space="preserve">7 - 2</t>
  </si>
  <si>
    <t xml:space="preserve">6 - 1</t>
  </si>
  <si>
    <t xml:space="preserve">4 - 4</t>
  </si>
  <si>
    <t xml:space="preserve">Ⓛ Croatia</t>
  </si>
  <si>
    <t xml:space="preserve">miki ziso</t>
  </si>
  <si>
    <t xml:space="preserve">4 - 2</t>
  </si>
  <si>
    <t xml:space="preserve">1 - 6</t>
  </si>
  <si>
    <t xml:space="preserve">6 - 5</t>
  </si>
  <si>
    <t xml:space="preserve">1 - 1</t>
  </si>
  <si>
    <t xml:space="preserve">0 - 2</t>
  </si>
  <si>
    <t xml:space="preserve">2 - 1</t>
  </si>
  <si>
    <t xml:space="preserve">Ⓚ Portugal</t>
  </si>
  <si>
    <t xml:space="preserve">Ⓘ Senegal</t>
  </si>
  <si>
    <t xml:space="preserve">Ⓗ Uruguay</t>
  </si>
  <si>
    <t xml:space="preserve">NIr1</t>
  </si>
  <si>
    <t xml:space="preserve">3 - 1</t>
  </si>
  <si>
    <t xml:space="preserve">7 - 4</t>
  </si>
  <si>
    <t xml:space="preserve">7 - 8</t>
  </si>
  <si>
    <t xml:space="preserve">5 - 8</t>
  </si>
  <si>
    <t xml:space="preserve">1 - 4</t>
  </si>
  <si>
    <t xml:space="preserve">8 - 7</t>
  </si>
  <si>
    <t xml:space="preserve">7 - 7</t>
  </si>
  <si>
    <t xml:space="preserve">2 - 5</t>
  </si>
  <si>
    <t xml:space="preserve">5 - 6</t>
  </si>
  <si>
    <t xml:space="preserve">4 - 7</t>
  </si>
  <si>
    <t xml:space="preserve">Ⓓ Turkey</t>
  </si>
  <si>
    <t xml:space="preserve">Ⓗ Cape Verde</t>
  </si>
  <si>
    <t xml:space="preserve">Ⓙ Austria</t>
  </si>
  <si>
    <t xml:space="preserve">Ⓐ Korea Republic</t>
  </si>
  <si>
    <t xml:space="preserve">Ⓒ Haiti</t>
  </si>
  <si>
    <t xml:space="preserve">Ⓑ Canada</t>
  </si>
  <si>
    <t xml:space="preserve">5 - 7</t>
  </si>
  <si>
    <t xml:space="preserve">6 - 7</t>
  </si>
  <si>
    <t xml:space="preserve">6 - 6</t>
  </si>
  <si>
    <t xml:space="preserve">7 - 11</t>
  </si>
  <si>
    <t xml:space="preserve">8 - 4</t>
  </si>
  <si>
    <t xml:space="preserve">3 - 7</t>
  </si>
  <si>
    <t xml:space="preserve">9 - 3</t>
  </si>
  <si>
    <t xml:space="preserve">5 - 4</t>
  </si>
  <si>
    <t xml:space="preserve">3 - 9</t>
  </si>
  <si>
    <t xml:space="preserve">8 - 5</t>
  </si>
  <si>
    <t xml:space="preserve">7 - 1</t>
  </si>
  <si>
    <t xml:space="preserve">7 - 3</t>
  </si>
  <si>
    <t xml:space="preserve">9 - 6</t>
  </si>
  <si>
    <t xml:space="preserve">0 - 1</t>
  </si>
  <si>
    <t xml:space="preserve">Ⓖ Iran</t>
  </si>
  <si>
    <t xml:space="preserve">Ⓗ Spain</t>
  </si>
  <si>
    <t xml:space="preserve">Ⓐ Mexico</t>
  </si>
  <si>
    <t xml:space="preserve">Ⓕ Tunisia</t>
  </si>
  <si>
    <t xml:space="preserve">Ⓔ Ecuador</t>
  </si>
  <si>
    <t xml:space="preserve">2 - 9</t>
  </si>
  <si>
    <t xml:space="preserve">11 - 5</t>
  </si>
  <si>
    <t xml:space="preserve">Ⓔ Germany</t>
  </si>
  <si>
    <t xml:space="preserve">Ⓖ Belgium</t>
  </si>
  <si>
    <t xml:space="preserve">Ⓕ Netherlands</t>
  </si>
  <si>
    <t xml:space="preserve">Ⓙ Jordan</t>
  </si>
  <si>
    <t xml:space="preserve">Ⓑ Bosnia and Herzegovina</t>
  </si>
  <si>
    <t xml:space="preserve">Ⓒ Brazil</t>
  </si>
  <si>
    <t xml:space="preserve">Ⓓ Paraguay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</si>
</sst>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"/>
    <numFmt numFmtId="167" formatCode="[$₪-40D]\ #,##0"/>
    <numFmt numFmtId="168" formatCode="[$₪-40D]\ #,##0.00"/>
    <numFmt numFmtId="169" formatCode="0.0"/>
    <numFmt numFmtId="170" formatCode="0%"/>
    <numFmt numFmtId="171" formatCode="h:mm;@"/>
    <numFmt numFmtId="172" formatCode=";;;"/>
    <numFmt numFmtId="173" formatCode="dd/m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u val="single"/>
      <sz val="1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.5"/>
      <name val="Calibri"/>
      <family val="2"/>
      <charset val="1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sz val="18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7999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BEEF2"/>
      </patternFill>
    </fill>
    <fill>
      <patternFill patternType="solid">
        <fgColor theme="5" tint="0.7999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/>
      <top style="thin">
        <color theme="3" tint="0.3999"/>
      </top>
      <bottom/>
      <diagonal/>
    </border>
    <border diagonalUp="false" diagonalDown="false">
      <left/>
      <right style="thin">
        <color theme="3" tint="0.3998"/>
      </right>
      <top style="thin">
        <color theme="3" tint="0.3999"/>
      </top>
      <bottom/>
      <diagonal/>
    </border>
    <border diagonalUp="false" diagonalDown="false">
      <left style="thin">
        <color theme="3" tint="0.3999"/>
      </left>
      <right/>
      <top/>
      <bottom style="thin">
        <color theme="3" tint="0.3999"/>
      </bottom>
      <diagonal/>
    </border>
    <border diagonalUp="false" diagonalDown="false">
      <left/>
      <right/>
      <top/>
      <bottom style="thin">
        <color theme="3" tint="0.3999"/>
      </bottom>
      <diagonal/>
    </border>
    <border diagonalUp="false" diagonalDown="false">
      <left/>
      <right style="thin">
        <color theme="3" tint="0.3998"/>
      </right>
      <top/>
      <bottom style="thin">
        <color theme="3" tint="0.3999"/>
      </bottom>
      <diagonal/>
    </border>
    <border diagonalUp="false" diagonalDown="false">
      <left style="thin">
        <color theme="4"/>
      </left>
      <right/>
      <top style="thin">
        <color theme="4"/>
      </top>
      <bottom/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/>
      <right style="thin">
        <color theme="4"/>
      </right>
      <top style="thin">
        <color theme="4"/>
      </top>
      <bottom/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theme="4"/>
      </left>
      <right/>
      <top/>
      <bottom style="thin">
        <color theme="4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 style="thin">
        <color theme="4"/>
      </right>
      <top/>
      <bottom style="thin">
        <color theme="4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3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6" fillId="1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6" fillId="10" borderId="2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2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9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18" fillId="1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9" borderId="31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6" fillId="10" borderId="3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3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37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8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0" fillId="9" borderId="39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10" borderId="4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4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3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50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1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64" fontId="0" fillId="9" borderId="52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3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72" fontId="13" fillId="9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8" fillId="9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2" fontId="13" fillId="9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1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72" fontId="12" fillId="9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5" borderId="60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6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.82"/>
    <col collapsed="false" customWidth="true" hidden="false" outlineLevel="0" max="2" min="2" style="1" width="4.54"/>
    <col collapsed="false" customWidth="true" hidden="false" outlineLevel="0" max="4" min="4" style="1" width="18.18"/>
    <col collapsed="false" customWidth="true" hidden="false" outlineLevel="0" max="5" min="5" style="1" width="12.18"/>
    <col collapsed="false" customWidth="true" hidden="false" outlineLevel="0" max="7" min="7" style="1" width="10.18"/>
    <col collapsed="false" customWidth="true" hidden="false" outlineLevel="0" max="11" min="11" style="1" width="28.73"/>
    <col collapsed="false" customWidth="true" hidden="false" outlineLevel="0" max="14" min="12" style="1" width="4.73"/>
    <col collapsed="false" customWidth="true" hidden="false" outlineLevel="0" max="18" min="18" style="1" width="13.27"/>
  </cols>
  <sheetData>
    <row r="2" customFormat="false" ht="15" hidden="false" customHeight="true" outlineLevel="0" collapsed="false"/>
    <row r="3" customFormat="false" ht="15.75" hidden="false" customHeight="true" outlineLevel="0" collapsed="false">
      <c r="C3" s="2"/>
      <c r="D3" s="3" t="s">
        <v>0</v>
      </c>
      <c r="E3" s="3" t="s">
        <v>1</v>
      </c>
      <c r="F3" s="4" t="s">
        <v>2</v>
      </c>
      <c r="G3" s="5" t="s">
        <v>3</v>
      </c>
      <c r="J3" s="6"/>
      <c r="K3" s="7" t="s">
        <v>4</v>
      </c>
      <c r="L3" s="7" t="s">
        <v>5</v>
      </c>
      <c r="M3" s="6"/>
      <c r="N3" s="6"/>
      <c r="P3" s="7" t="s">
        <v>6</v>
      </c>
      <c r="R3" s="7" t="s">
        <v>7</v>
      </c>
    </row>
    <row r="4" customFormat="false" ht="15" hidden="false" customHeight="true" outlineLevel="0" collapsed="false">
      <c r="A4" s="1" t="n">
        <v>1</v>
      </c>
      <c r="C4" s="8" t="n">
        <v>1</v>
      </c>
      <c r="D4" s="9" t="e">
        <f aca="false">VLOOKUP(A4,$J$79:$K$148,2,0)</f>
        <v>#N/A</v>
      </c>
      <c r="E4" s="9" t="e">
        <f aca="false">VLOOKUP($D4,$D$79:$F$148,2,0)</f>
        <v>#N/A</v>
      </c>
      <c r="F4" s="10" t="e">
        <f aca="false">VLOOKUP($D4,$D$79:$F$148,3,0)</f>
        <v>#N/A</v>
      </c>
      <c r="G4" s="11" t="n">
        <v>4000</v>
      </c>
      <c r="H4" s="12"/>
      <c r="J4" s="6" t="n">
        <v>1</v>
      </c>
      <c r="K4" s="6" t="s">
        <v>8</v>
      </c>
      <c r="L4" s="13"/>
      <c r="M4" s="13"/>
      <c r="N4" s="14" t="str">
        <f aca="false">IF(OR(M4="",L4=""),"",IF(L4&gt;M4,"I",IF(L4=M4,"X","II")))</f>
        <v/>
      </c>
      <c r="P4" s="15"/>
      <c r="R4" s="15"/>
    </row>
    <row r="5" customFormat="false" ht="14.25" hidden="false" customHeight="true" outlineLevel="0" collapsed="false">
      <c r="A5" s="1" t="n">
        <f aca="false">A4+1</f>
        <v>2</v>
      </c>
      <c r="C5" s="16" t="e">
        <f aca="false">IF(F5=F4,"-",COUNTA($D$4:D5))</f>
        <v>#N/A</v>
      </c>
      <c r="D5" s="17" t="e">
        <f aca="false">VLOOKUP(A5,$J$79:$K$148,2,0)</f>
        <v>#N/A</v>
      </c>
      <c r="E5" s="17" t="e">
        <f aca="false">VLOOKUP($D5,$D$79:$F$148,2,0)</f>
        <v>#N/A</v>
      </c>
      <c r="F5" s="18" t="e">
        <f aca="false">VLOOKUP($D5,$D$79:$F$148,3,0)</f>
        <v>#N/A</v>
      </c>
      <c r="G5" s="19" t="n">
        <v>1500</v>
      </c>
      <c r="J5" s="6" t="n">
        <v>2</v>
      </c>
      <c r="K5" s="6" t="s">
        <v>9</v>
      </c>
      <c r="L5" s="13"/>
      <c r="M5" s="13"/>
      <c r="N5" s="14" t="str">
        <f aca="false">IF(OR(M5="",L5=""),"",IF(L5&gt;M5,"I",IF(L5=M5,"X","II")))</f>
        <v/>
      </c>
      <c r="P5" s="15"/>
      <c r="R5" s="15"/>
    </row>
    <row r="6" customFormat="false" ht="14.25" hidden="false" customHeight="true" outlineLevel="0" collapsed="false">
      <c r="A6" s="1" t="n">
        <f aca="false">A5+1</f>
        <v>3</v>
      </c>
      <c r="C6" s="20" t="e">
        <f aca="false">IF(F6=F5,"-",COUNTA($D$4:D6))</f>
        <v>#N/A</v>
      </c>
      <c r="D6" s="21" t="e">
        <f aca="false">VLOOKUP(A6,$J$79:$K$148,2,0)</f>
        <v>#N/A</v>
      </c>
      <c r="E6" s="21" t="e">
        <f aca="false">VLOOKUP($D6,$D$79:$F$148,2,0)</f>
        <v>#N/A</v>
      </c>
      <c r="F6" s="22" t="e">
        <f aca="false">VLOOKUP($D6,$D$79:$F$148,3,0)</f>
        <v>#N/A</v>
      </c>
      <c r="G6" s="23" t="n">
        <v>700</v>
      </c>
      <c r="J6" s="6" t="n">
        <v>3</v>
      </c>
      <c r="K6" s="6" t="s">
        <v>10</v>
      </c>
      <c r="L6" s="13"/>
      <c r="M6" s="13"/>
      <c r="N6" s="14" t="str">
        <f aca="false">IF(OR(M6="",L6=""),"",IF(L6&gt;M6,"I",IF(L6=M6,"X","II")))</f>
        <v/>
      </c>
      <c r="P6" s="15"/>
      <c r="R6" s="15"/>
    </row>
    <row r="7" customFormat="false" ht="14.25" hidden="false" customHeight="true" outlineLevel="0" collapsed="false">
      <c r="A7" s="1" t="n">
        <f aca="false">A6+1</f>
        <v>4</v>
      </c>
      <c r="C7" s="24" t="e">
        <f aca="false">IF(F7=F6,"-",COUNTA($D$4:D7))</f>
        <v>#N/A</v>
      </c>
      <c r="D7" s="25" t="e">
        <f aca="false">VLOOKUP(A7,$J$79:$K$148,2,0)</f>
        <v>#N/A</v>
      </c>
      <c r="E7" s="25" t="e">
        <f aca="false">VLOOKUP($D7,$D$79:$F$148,2,0)</f>
        <v>#N/A</v>
      </c>
      <c r="F7" s="26" t="e">
        <f aca="false">VLOOKUP($D7,$D$79:$F$148,3,0)</f>
        <v>#N/A</v>
      </c>
      <c r="G7" s="27" t="n">
        <v>400</v>
      </c>
      <c r="J7" s="6" t="n">
        <v>4</v>
      </c>
      <c r="K7" s="6" t="s">
        <v>11</v>
      </c>
      <c r="L7" s="13"/>
      <c r="M7" s="13"/>
      <c r="N7" s="14" t="str">
        <f aca="false">IF(OR(M7="",L7=""),"",IF(L7&gt;M7,"I",IF(L7=M7,"X","II")))</f>
        <v/>
      </c>
      <c r="P7" s="15"/>
      <c r="R7" s="15"/>
    </row>
    <row r="8" customFormat="false" ht="14.25" hidden="false" customHeight="true" outlineLevel="0" collapsed="false">
      <c r="A8" s="1" t="n">
        <f aca="false">A7+1</f>
        <v>5</v>
      </c>
      <c r="C8" s="28" t="e">
        <f aca="false">IF(F8=F7,"-",COUNTA($D$4:D8))</f>
        <v>#N/A</v>
      </c>
      <c r="D8" s="29" t="e">
        <f aca="false">VLOOKUP(A8,$J$79:$K$148,2,0)</f>
        <v>#N/A</v>
      </c>
      <c r="E8" s="29" t="e">
        <f aca="false">VLOOKUP($D8,$D$79:$F$148,2,0)</f>
        <v>#N/A</v>
      </c>
      <c r="F8" s="30" t="e">
        <f aca="false">VLOOKUP($D8,$D$79:$F$148,3,0)</f>
        <v>#N/A</v>
      </c>
      <c r="G8" s="31" t="n">
        <v>150</v>
      </c>
      <c r="J8" s="6" t="n">
        <v>5</v>
      </c>
      <c r="K8" s="6" t="s">
        <v>12</v>
      </c>
      <c r="L8" s="13"/>
      <c r="M8" s="13"/>
      <c r="N8" s="14" t="str">
        <f aca="false">IF(OR(M8="",L8=""),"",IF(L8&gt;M8,"I",IF(L8=M8,"X","II")))</f>
        <v/>
      </c>
      <c r="P8" s="15"/>
      <c r="R8" s="15"/>
    </row>
    <row r="9" customFormat="false" ht="14.25" hidden="false" customHeight="true" outlineLevel="0" collapsed="false">
      <c r="A9" s="1" t="n">
        <f aca="false">A8+1</f>
        <v>6</v>
      </c>
      <c r="C9" s="32" t="e">
        <f aca="false">IF(F9=F8,"-",COUNTA($D$4:D9))</f>
        <v>#N/A</v>
      </c>
      <c r="D9" s="6" t="e">
        <f aca="false">VLOOKUP(A9,$J$79:$K$148,2,0)</f>
        <v>#N/A</v>
      </c>
      <c r="E9" s="6" t="e">
        <f aca="false">VLOOKUP($D9,$D$79:$F$148,2,0)</f>
        <v>#N/A</v>
      </c>
      <c r="F9" s="33" t="e">
        <f aca="false">VLOOKUP($D9,$D$79:$F$148,3,0)</f>
        <v>#N/A</v>
      </c>
      <c r="G9" s="34"/>
      <c r="J9" s="6" t="n">
        <v>6</v>
      </c>
      <c r="K9" s="6" t="s">
        <v>13</v>
      </c>
      <c r="L9" s="13"/>
      <c r="M9" s="13"/>
      <c r="N9" s="14" t="str">
        <f aca="false">IF(OR(M9="",L9=""),"",IF(L9&gt;M9,"I",IF(L9=M9,"X","II")))</f>
        <v/>
      </c>
      <c r="P9" s="15"/>
      <c r="R9" s="15"/>
    </row>
    <row r="10" customFormat="false" ht="14.25" hidden="false" customHeight="true" outlineLevel="0" collapsed="false">
      <c r="A10" s="1" t="n">
        <f aca="false">A9+1</f>
        <v>7</v>
      </c>
      <c r="C10" s="32" t="e">
        <f aca="false">IF(F10=F9,"-",COUNTA($D$4:D10))</f>
        <v>#N/A</v>
      </c>
      <c r="D10" s="6" t="e">
        <f aca="false">VLOOKUP(A10,$J$79:$K$148,2,0)</f>
        <v>#N/A</v>
      </c>
      <c r="E10" s="6" t="e">
        <f aca="false">VLOOKUP($D10,$D$79:$F$148,2,0)</f>
        <v>#N/A</v>
      </c>
      <c r="F10" s="33" t="e">
        <f aca="false">VLOOKUP($D10,$D$79:$F$148,3,0)</f>
        <v>#N/A</v>
      </c>
      <c r="G10" s="34"/>
      <c r="J10" s="6" t="n">
        <v>7</v>
      </c>
      <c r="K10" s="6" t="s">
        <v>14</v>
      </c>
      <c r="L10" s="13"/>
      <c r="M10" s="13"/>
      <c r="N10" s="14" t="str">
        <f aca="false">IF(OR(M10="",L10=""),"",IF(L10&gt;M10,"I",IF(L10=M10,"X","II")))</f>
        <v/>
      </c>
      <c r="P10" s="15"/>
      <c r="R10" s="15"/>
    </row>
    <row r="11" customFormat="false" ht="14.25" hidden="false" customHeight="true" outlineLevel="0" collapsed="false">
      <c r="A11" s="1" t="n">
        <f aca="false">A10+1</f>
        <v>8</v>
      </c>
      <c r="C11" s="32" t="e">
        <f aca="false">IF(F11=F10,"-",COUNTA($D$4:D11))</f>
        <v>#N/A</v>
      </c>
      <c r="D11" s="6" t="e">
        <f aca="false">VLOOKUP(A11,$J$79:$K$148,2,0)</f>
        <v>#N/A</v>
      </c>
      <c r="E11" s="6" t="e">
        <f aca="false">VLOOKUP($D11,$D$79:$F$148,2,0)</f>
        <v>#N/A</v>
      </c>
      <c r="F11" s="33" t="e">
        <f aca="false">VLOOKUP($D11,$D$79:$F$148,3,0)</f>
        <v>#N/A</v>
      </c>
      <c r="G11" s="34"/>
      <c r="J11" s="6" t="n">
        <v>8</v>
      </c>
      <c r="K11" s="6" t="s">
        <v>15</v>
      </c>
      <c r="L11" s="13"/>
      <c r="M11" s="13"/>
      <c r="N11" s="14" t="str">
        <f aca="false">IF(OR(M11="",L11=""),"",IF(L11&gt;M11,"I",IF(L11=M11,"X","II")))</f>
        <v/>
      </c>
      <c r="P11" s="15"/>
      <c r="R11" s="15"/>
    </row>
    <row r="12" customFormat="false" ht="14.25" hidden="false" customHeight="true" outlineLevel="0" collapsed="false">
      <c r="A12" s="1" t="n">
        <f aca="false">A11+1</f>
        <v>9</v>
      </c>
      <c r="C12" s="32" t="e">
        <f aca="false">IF(F12=F11,"-",COUNTA($D$4:D12))</f>
        <v>#N/A</v>
      </c>
      <c r="D12" s="6" t="e">
        <f aca="false">VLOOKUP(A12,$J$79:$K$148,2,0)</f>
        <v>#N/A</v>
      </c>
      <c r="E12" s="6" t="e">
        <f aca="false">VLOOKUP($D12,$D$79:$F$148,2,0)</f>
        <v>#N/A</v>
      </c>
      <c r="F12" s="33" t="e">
        <f aca="false">VLOOKUP($D12,$D$79:$F$148,3,0)</f>
        <v>#N/A</v>
      </c>
      <c r="G12" s="34"/>
      <c r="J12" s="6" t="n">
        <v>9</v>
      </c>
      <c r="K12" s="6" t="s">
        <v>16</v>
      </c>
      <c r="L12" s="13"/>
      <c r="M12" s="13"/>
      <c r="N12" s="14" t="str">
        <f aca="false">IF(OR(M12="",L12=""),"",IF(L12&gt;M12,"I",IF(L12=M12,"X","II")))</f>
        <v/>
      </c>
      <c r="P12" s="15"/>
      <c r="R12" s="15"/>
    </row>
    <row r="13" customFormat="false" ht="14.25" hidden="false" customHeight="true" outlineLevel="0" collapsed="false">
      <c r="A13" s="1" t="n">
        <f aca="false">A12+1</f>
        <v>10</v>
      </c>
      <c r="C13" s="32" t="e">
        <f aca="false">IF(F13=F12,"-",COUNTA($D$4:D13))</f>
        <v>#N/A</v>
      </c>
      <c r="D13" s="6" t="e">
        <f aca="false">VLOOKUP(A13,$J$79:$K$148,2,0)</f>
        <v>#N/A</v>
      </c>
      <c r="E13" s="6" t="e">
        <f aca="false">VLOOKUP($D13,$D$79:$F$148,2,0)</f>
        <v>#N/A</v>
      </c>
      <c r="F13" s="33" t="e">
        <f aca="false">VLOOKUP($D13,$D$79:$F$148,3,0)</f>
        <v>#N/A</v>
      </c>
      <c r="G13" s="34"/>
      <c r="J13" s="6" t="n">
        <v>10</v>
      </c>
      <c r="K13" s="6" t="s">
        <v>17</v>
      </c>
      <c r="L13" s="13"/>
      <c r="M13" s="13"/>
      <c r="N13" s="14" t="str">
        <f aca="false">IF(OR(M13="",L13=""),"",IF(L13&gt;M13,"I",IF(L13=M13,"X","II")))</f>
        <v/>
      </c>
      <c r="P13" s="15"/>
      <c r="R13" s="15"/>
    </row>
    <row r="14" customFormat="false" ht="14.25" hidden="false" customHeight="true" outlineLevel="0" collapsed="false">
      <c r="A14" s="1" t="n">
        <f aca="false">A13+1</f>
        <v>11</v>
      </c>
      <c r="C14" s="32" t="e">
        <f aca="false">IF(F14=F13,"-",COUNTA($D$4:D14))</f>
        <v>#N/A</v>
      </c>
      <c r="D14" s="6" t="e">
        <f aca="false">VLOOKUP(A14,$J$79:$K$148,2,0)</f>
        <v>#N/A</v>
      </c>
      <c r="E14" s="6" t="e">
        <f aca="false">VLOOKUP($D14,$D$79:$F$148,2,0)</f>
        <v>#N/A</v>
      </c>
      <c r="F14" s="33" t="e">
        <f aca="false">VLOOKUP($D14,$D$79:$F$148,3,0)</f>
        <v>#N/A</v>
      </c>
      <c r="G14" s="34"/>
      <c r="J14" s="6" t="n">
        <v>11</v>
      </c>
      <c r="K14" s="6" t="s">
        <v>18</v>
      </c>
      <c r="L14" s="13"/>
      <c r="M14" s="13"/>
      <c r="N14" s="14" t="str">
        <f aca="false">IF(OR(M14="",L14=""),"",IF(L14&gt;M14,"I",IF(L14=M14,"X","II")))</f>
        <v/>
      </c>
      <c r="P14" s="15"/>
      <c r="R14" s="15"/>
    </row>
    <row r="15" customFormat="false" ht="14.25" hidden="false" customHeight="true" outlineLevel="0" collapsed="false">
      <c r="A15" s="1" t="n">
        <f aca="false">A14+1</f>
        <v>12</v>
      </c>
      <c r="C15" s="32" t="e">
        <f aca="false">IF(F15=F14,"-",COUNTA($D$4:D15))</f>
        <v>#N/A</v>
      </c>
      <c r="D15" s="6" t="e">
        <f aca="false">VLOOKUP(A15,$J$79:$K$148,2,0)</f>
        <v>#N/A</v>
      </c>
      <c r="E15" s="6" t="e">
        <f aca="false">VLOOKUP($D15,$D$79:$F$148,2,0)</f>
        <v>#N/A</v>
      </c>
      <c r="F15" s="33" t="e">
        <f aca="false">VLOOKUP($D15,$D$79:$F$148,3,0)</f>
        <v>#N/A</v>
      </c>
      <c r="G15" s="34"/>
      <c r="J15" s="6" t="n">
        <v>12</v>
      </c>
      <c r="K15" s="6" t="s">
        <v>19</v>
      </c>
      <c r="L15" s="13"/>
      <c r="M15" s="13"/>
      <c r="N15" s="14" t="str">
        <f aca="false">IF(OR(M15="",L15=""),"",IF(L15&gt;M15,"I",IF(L15=M15,"X","II")))</f>
        <v/>
      </c>
      <c r="P15" s="15"/>
      <c r="R15" s="15"/>
    </row>
    <row r="16" customFormat="false" ht="14.25" hidden="false" customHeight="true" outlineLevel="0" collapsed="false">
      <c r="A16" s="1" t="n">
        <f aca="false">A15+1</f>
        <v>13</v>
      </c>
      <c r="C16" s="32" t="e">
        <f aca="false">IF(F16=F15,"-",COUNTA($D$4:D16))</f>
        <v>#N/A</v>
      </c>
      <c r="D16" s="6" t="e">
        <f aca="false">VLOOKUP(A16,$J$79:$K$148,2,0)</f>
        <v>#N/A</v>
      </c>
      <c r="E16" s="6" t="e">
        <f aca="false">VLOOKUP($D16,$D$79:$F$148,2,0)</f>
        <v>#N/A</v>
      </c>
      <c r="F16" s="33" t="e">
        <f aca="false">VLOOKUP($D16,$D$79:$F$148,3,0)</f>
        <v>#N/A</v>
      </c>
      <c r="G16" s="34"/>
      <c r="J16" s="6" t="n">
        <v>13</v>
      </c>
      <c r="K16" s="6" t="s">
        <v>20</v>
      </c>
      <c r="L16" s="13"/>
      <c r="M16" s="13"/>
      <c r="N16" s="14" t="str">
        <f aca="false">IF(OR(M16="",L16=""),"",IF(L16&gt;M16,"I",IF(L16=M16,"X","II")))</f>
        <v/>
      </c>
      <c r="P16" s="15"/>
      <c r="R16" s="15"/>
    </row>
    <row r="17" customFormat="false" ht="14.25" hidden="false" customHeight="true" outlineLevel="0" collapsed="false">
      <c r="A17" s="1" t="n">
        <f aca="false">A16+1</f>
        <v>14</v>
      </c>
      <c r="C17" s="32" t="e">
        <f aca="false">IF(F17=F16,"-",COUNTA($D$4:D17))</f>
        <v>#N/A</v>
      </c>
      <c r="D17" s="6" t="e">
        <f aca="false">VLOOKUP(A17,$J$79:$K$148,2,0)</f>
        <v>#N/A</v>
      </c>
      <c r="E17" s="6" t="e">
        <f aca="false">VLOOKUP($D17,$D$79:$F$148,2,0)</f>
        <v>#N/A</v>
      </c>
      <c r="F17" s="33" t="e">
        <f aca="false">VLOOKUP($D17,$D$79:$F$148,3,0)</f>
        <v>#N/A</v>
      </c>
      <c r="G17" s="34"/>
      <c r="J17" s="6" t="n">
        <v>14</v>
      </c>
      <c r="K17" s="6" t="s">
        <v>21</v>
      </c>
      <c r="L17" s="13"/>
      <c r="M17" s="13"/>
      <c r="N17" s="14" t="str">
        <f aca="false">IF(OR(M17="",L17=""),"",IF(L17&gt;M17,"I",IF(L17=M17,"X","II")))</f>
        <v/>
      </c>
      <c r="P17" s="15"/>
      <c r="R17" s="15"/>
    </row>
    <row r="18" customFormat="false" ht="14.25" hidden="false" customHeight="true" outlineLevel="0" collapsed="false">
      <c r="A18" s="1" t="n">
        <f aca="false">A17+1</f>
        <v>15</v>
      </c>
      <c r="C18" s="32" t="e">
        <f aca="false">IF(F18=F17,"-",COUNTA($D$4:D18))</f>
        <v>#N/A</v>
      </c>
      <c r="D18" s="6" t="e">
        <f aca="false">VLOOKUP(A18,$J$79:$K$148,2,0)</f>
        <v>#N/A</v>
      </c>
      <c r="E18" s="6" t="e">
        <f aca="false">VLOOKUP($D18,$D$79:$F$148,2,0)</f>
        <v>#N/A</v>
      </c>
      <c r="F18" s="33" t="e">
        <f aca="false">VLOOKUP($D18,$D$79:$F$148,3,0)</f>
        <v>#N/A</v>
      </c>
      <c r="G18" s="34"/>
      <c r="J18" s="6" t="n">
        <v>15</v>
      </c>
      <c r="K18" s="6" t="s">
        <v>22</v>
      </c>
      <c r="L18" s="13"/>
      <c r="M18" s="13"/>
      <c r="N18" s="14" t="str">
        <f aca="false">IF(OR(M18="",L18=""),"",IF(L18&gt;M18,"I",IF(L18=M18,"X","II")))</f>
        <v/>
      </c>
      <c r="P18" s="15"/>
      <c r="R18" s="15"/>
    </row>
    <row r="19" customFormat="false" ht="14.25" hidden="false" customHeight="true" outlineLevel="0" collapsed="false">
      <c r="A19" s="1" t="n">
        <f aca="false">A18+1</f>
        <v>16</v>
      </c>
      <c r="C19" s="32" t="e">
        <f aca="false">IF(F19=F18,"-",COUNTA($D$4:D19))</f>
        <v>#N/A</v>
      </c>
      <c r="D19" s="6" t="e">
        <f aca="false">VLOOKUP(A19,$J$79:$K$148,2,0)</f>
        <v>#N/A</v>
      </c>
      <c r="E19" s="6" t="e">
        <f aca="false">VLOOKUP($D19,$D$79:$F$148,2,0)</f>
        <v>#N/A</v>
      </c>
      <c r="F19" s="33" t="e">
        <f aca="false">VLOOKUP($D19,$D$79:$F$148,3,0)</f>
        <v>#N/A</v>
      </c>
      <c r="G19" s="34"/>
      <c r="J19" s="6" t="n">
        <v>16</v>
      </c>
      <c r="K19" s="6" t="s">
        <v>23</v>
      </c>
      <c r="L19" s="13"/>
      <c r="M19" s="13"/>
      <c r="N19" s="14" t="str">
        <f aca="false">IF(OR(M19="",L19=""),"",IF(L19&gt;M19,"I",IF(L19=M19,"X","II")))</f>
        <v/>
      </c>
      <c r="P19" s="15"/>
      <c r="R19" s="15"/>
    </row>
    <row r="20" customFormat="false" ht="14.25" hidden="false" customHeight="true" outlineLevel="0" collapsed="false">
      <c r="A20" s="1" t="n">
        <f aca="false">A19+1</f>
        <v>17</v>
      </c>
      <c r="C20" s="32" t="e">
        <f aca="false">IF(F20=F19,"-",COUNTA($D$4:D20))</f>
        <v>#N/A</v>
      </c>
      <c r="D20" s="6" t="e">
        <f aca="false">VLOOKUP(A20,$J$79:$K$148,2,0)</f>
        <v>#N/A</v>
      </c>
      <c r="E20" s="6" t="e">
        <f aca="false">VLOOKUP($D20,$D$79:$F$148,2,0)</f>
        <v>#N/A</v>
      </c>
      <c r="F20" s="33" t="e">
        <f aca="false">VLOOKUP($D20,$D$79:$F$148,3,0)</f>
        <v>#N/A</v>
      </c>
      <c r="G20" s="34"/>
      <c r="J20" s="6" t="n">
        <v>17</v>
      </c>
      <c r="K20" s="6" t="s">
        <v>24</v>
      </c>
      <c r="L20" s="13"/>
      <c r="M20" s="13"/>
      <c r="N20" s="14" t="str">
        <f aca="false">IF(OR(M20="",L20=""),"",IF(L20&gt;M20,"I",IF(L20=M20,"X","II")))</f>
        <v/>
      </c>
      <c r="P20" s="15"/>
      <c r="R20" s="6"/>
    </row>
    <row r="21" customFormat="false" ht="14.25" hidden="false" customHeight="true" outlineLevel="0" collapsed="false">
      <c r="A21" s="1" t="n">
        <f aca="false">A20+1</f>
        <v>18</v>
      </c>
      <c r="C21" s="32" t="e">
        <f aca="false">IF(F21=F20,"-",COUNTA($D$4:D21))</f>
        <v>#N/A</v>
      </c>
      <c r="D21" s="6" t="e">
        <f aca="false">VLOOKUP(A21,$J$79:$K$148,2,0)</f>
        <v>#N/A</v>
      </c>
      <c r="E21" s="6" t="e">
        <f aca="false">VLOOKUP($D21,$D$79:$F$148,2,0)</f>
        <v>#N/A</v>
      </c>
      <c r="F21" s="33" t="e">
        <f aca="false">VLOOKUP($D21,$D$79:$F$148,3,0)</f>
        <v>#N/A</v>
      </c>
      <c r="G21" s="34"/>
      <c r="J21" s="6" t="n">
        <v>18</v>
      </c>
      <c r="K21" s="6" t="s">
        <v>25</v>
      </c>
      <c r="L21" s="13"/>
      <c r="M21" s="13"/>
      <c r="N21" s="14" t="str">
        <f aca="false">IF(OR(M21="",L21=""),"",IF(L21&gt;M21,"I",IF(L21=M21,"X","II")))</f>
        <v/>
      </c>
      <c r="P21" s="15"/>
      <c r="R21" s="7" t="s">
        <v>26</v>
      </c>
    </row>
    <row r="22" customFormat="false" ht="14.25" hidden="false" customHeight="true" outlineLevel="0" collapsed="false">
      <c r="A22" s="1" t="n">
        <f aca="false">A21+1</f>
        <v>19</v>
      </c>
      <c r="C22" s="32" t="e">
        <f aca="false">IF(F22=F21,"-",COUNTA($D$4:D22))</f>
        <v>#N/A</v>
      </c>
      <c r="D22" s="6" t="e">
        <f aca="false">VLOOKUP(A22,$J$79:$K$148,2,0)</f>
        <v>#N/A</v>
      </c>
      <c r="E22" s="6" t="e">
        <f aca="false">VLOOKUP($D22,$D$79:$F$148,2,0)</f>
        <v>#N/A</v>
      </c>
      <c r="F22" s="33" t="e">
        <f aca="false">VLOOKUP($D22,$D$79:$F$148,3,0)</f>
        <v>#N/A</v>
      </c>
      <c r="G22" s="34"/>
      <c r="J22" s="6" t="n">
        <v>19</v>
      </c>
      <c r="K22" s="6" t="s">
        <v>27</v>
      </c>
      <c r="L22" s="13"/>
      <c r="M22" s="13"/>
      <c r="N22" s="14" t="str">
        <f aca="false">IF(OR(M22="",L22=""),"",IF(L22&gt;M22,"I",IF(L22=M22,"X","II")))</f>
        <v/>
      </c>
      <c r="P22" s="15"/>
      <c r="R22" s="15"/>
    </row>
    <row r="23" customFormat="false" ht="14.25" hidden="false" customHeight="true" outlineLevel="0" collapsed="false">
      <c r="A23" s="1" t="n">
        <f aca="false">A22+1</f>
        <v>20</v>
      </c>
      <c r="C23" s="28" t="e">
        <f aca="false">IF(F23=F22,"-",COUNTA($D$4:D23))</f>
        <v>#N/A</v>
      </c>
      <c r="D23" s="29" t="e">
        <f aca="false">VLOOKUP(A23,$J$79:$K$148,2,0)</f>
        <v>#N/A</v>
      </c>
      <c r="E23" s="29" t="e">
        <f aca="false">VLOOKUP($D23,$D$79:$F$148,2,0)</f>
        <v>#N/A</v>
      </c>
      <c r="F23" s="30" t="e">
        <f aca="false">VLOOKUP($D23,$D$79:$F$148,3,0)</f>
        <v>#N/A</v>
      </c>
      <c r="G23" s="31" t="n">
        <v>50</v>
      </c>
      <c r="J23" s="6" t="n">
        <v>20</v>
      </c>
      <c r="K23" s="6" t="s">
        <v>28</v>
      </c>
      <c r="L23" s="13"/>
      <c r="M23" s="13"/>
      <c r="N23" s="14" t="str">
        <f aca="false">IF(OR(M23="",L23=""),"",IF(L23&gt;M23,"I",IF(L23=M23,"X","II")))</f>
        <v/>
      </c>
      <c r="P23" s="15"/>
      <c r="R23" s="15"/>
    </row>
    <row r="24" customFormat="false" ht="14.25" hidden="false" customHeight="true" outlineLevel="0" collapsed="false">
      <c r="A24" s="1" t="n">
        <f aca="false">A23+1</f>
        <v>21</v>
      </c>
      <c r="C24" s="32" t="e">
        <f aca="false">IF(F24=F23,"-",COUNTA($D$4:D24))</f>
        <v>#N/A</v>
      </c>
      <c r="D24" s="6" t="e">
        <f aca="false">VLOOKUP(A24,$J$79:$K$148,2,0)</f>
        <v>#N/A</v>
      </c>
      <c r="E24" s="6" t="e">
        <f aca="false">VLOOKUP($D24,$D$79:$F$148,2,0)</f>
        <v>#N/A</v>
      </c>
      <c r="F24" s="33" t="e">
        <f aca="false">VLOOKUP($D24,$D$79:$F$148,3,0)</f>
        <v>#N/A</v>
      </c>
      <c r="G24" s="34"/>
      <c r="J24" s="6" t="n">
        <v>21</v>
      </c>
      <c r="K24" s="6" t="s">
        <v>29</v>
      </c>
      <c r="L24" s="13"/>
      <c r="M24" s="13"/>
      <c r="N24" s="14" t="str">
        <f aca="false">IF(OR(M24="",L24=""),"",IF(L24&gt;M24,"I",IF(L24=M24,"X","II")))</f>
        <v/>
      </c>
      <c r="P24" s="15"/>
      <c r="R24" s="15"/>
    </row>
    <row r="25" customFormat="false" ht="14.25" hidden="false" customHeight="true" outlineLevel="0" collapsed="false">
      <c r="A25" s="1" t="n">
        <f aca="false">A24+1</f>
        <v>22</v>
      </c>
      <c r="C25" s="32" t="e">
        <f aca="false">IF(F25=F24,"-",COUNTA($D$4:D25))</f>
        <v>#N/A</v>
      </c>
      <c r="D25" s="6" t="e">
        <f aca="false">VLOOKUP(A25,$J$79:$K$148,2,0)</f>
        <v>#N/A</v>
      </c>
      <c r="E25" s="6" t="e">
        <f aca="false">VLOOKUP($D25,$D$79:$F$148,2,0)</f>
        <v>#N/A</v>
      </c>
      <c r="F25" s="33" t="e">
        <f aca="false">VLOOKUP($D25,$D$79:$F$148,3,0)</f>
        <v>#N/A</v>
      </c>
      <c r="G25" s="34"/>
      <c r="J25" s="6" t="n">
        <v>22</v>
      </c>
      <c r="K25" s="6" t="s">
        <v>30</v>
      </c>
      <c r="L25" s="13"/>
      <c r="M25" s="13"/>
      <c r="N25" s="14" t="str">
        <f aca="false">IF(OR(M25="",L25=""),"",IF(L25&gt;M25,"I",IF(L25=M25,"X","II")))</f>
        <v/>
      </c>
      <c r="P25" s="15"/>
      <c r="R25" s="15"/>
    </row>
    <row r="26" customFormat="false" ht="14.25" hidden="false" customHeight="true" outlineLevel="0" collapsed="false">
      <c r="A26" s="1" t="n">
        <f aca="false">A25+1</f>
        <v>23</v>
      </c>
      <c r="C26" s="32" t="e">
        <f aca="false">IF(F26=F25,"-",COUNTA($D$4:D26))</f>
        <v>#N/A</v>
      </c>
      <c r="D26" s="6" t="e">
        <f aca="false">VLOOKUP(A26,$J$79:$K$148,2,0)</f>
        <v>#N/A</v>
      </c>
      <c r="E26" s="6" t="e">
        <f aca="false">VLOOKUP($D26,$D$79:$F$148,2,0)</f>
        <v>#N/A</v>
      </c>
      <c r="F26" s="33" t="e">
        <f aca="false">VLOOKUP($D26,$D$79:$F$148,3,0)</f>
        <v>#N/A</v>
      </c>
      <c r="G26" s="34"/>
      <c r="J26" s="6" t="n">
        <v>23</v>
      </c>
      <c r="K26" s="6" t="s">
        <v>31</v>
      </c>
      <c r="L26" s="13"/>
      <c r="M26" s="13"/>
      <c r="N26" s="14" t="str">
        <f aca="false">IF(OR(M26="",L26=""),"",IF(L26&gt;M26,"I",IF(L26=M26,"X","II")))</f>
        <v/>
      </c>
      <c r="P26" s="15"/>
      <c r="R26" s="15"/>
    </row>
    <row r="27" customFormat="false" ht="14.25" hidden="false" customHeight="true" outlineLevel="0" collapsed="false">
      <c r="A27" s="1" t="n">
        <f aca="false">A26+1</f>
        <v>24</v>
      </c>
      <c r="C27" s="32" t="e">
        <f aca="false">IF(F27=F26,"-",COUNTA($D$4:D27))</f>
        <v>#N/A</v>
      </c>
      <c r="D27" s="6" t="e">
        <f aca="false">VLOOKUP(A27,$J$79:$K$148,2,0)</f>
        <v>#N/A</v>
      </c>
      <c r="E27" s="6" t="e">
        <f aca="false">VLOOKUP($D27,$D$79:$F$148,2,0)</f>
        <v>#N/A</v>
      </c>
      <c r="F27" s="33" t="e">
        <f aca="false">VLOOKUP($D27,$D$79:$F$148,3,0)</f>
        <v>#N/A</v>
      </c>
      <c r="G27" s="34"/>
      <c r="J27" s="6" t="n">
        <v>24</v>
      </c>
      <c r="K27" s="6" t="s">
        <v>32</v>
      </c>
      <c r="L27" s="13"/>
      <c r="M27" s="13"/>
      <c r="N27" s="14" t="str">
        <f aca="false">IF(OR(M27="",L27=""),"",IF(L27&gt;M27,"I",IF(L27=M27,"X","II")))</f>
        <v/>
      </c>
      <c r="P27" s="15"/>
      <c r="R27" s="15"/>
    </row>
    <row r="28" customFormat="false" ht="14.25" hidden="false" customHeight="true" outlineLevel="0" collapsed="false">
      <c r="A28" s="1" t="n">
        <f aca="false">A27+1</f>
        <v>25</v>
      </c>
      <c r="C28" s="32" t="e">
        <f aca="false">IF(F28=F27,"-",COUNTA($D$4:D28))</f>
        <v>#N/A</v>
      </c>
      <c r="D28" s="6" t="e">
        <f aca="false">VLOOKUP(A28,$J$79:$K$148,2,0)</f>
        <v>#N/A</v>
      </c>
      <c r="E28" s="6" t="e">
        <f aca="false">VLOOKUP($D28,$D$79:$F$148,2,0)</f>
        <v>#N/A</v>
      </c>
      <c r="F28" s="33" t="e">
        <f aca="false">VLOOKUP($D28,$D$79:$F$148,3,0)</f>
        <v>#N/A</v>
      </c>
      <c r="G28" s="34"/>
      <c r="J28" s="6" t="n">
        <v>25</v>
      </c>
      <c r="K28" s="6" t="s">
        <v>33</v>
      </c>
      <c r="L28" s="13"/>
      <c r="M28" s="13"/>
      <c r="N28" s="14" t="str">
        <f aca="false">IF(OR(M28="",L28=""),"",IF(L28&gt;M28,"I",IF(L28=M28,"X","II")))</f>
        <v/>
      </c>
      <c r="P28" s="15"/>
      <c r="R28" s="15"/>
    </row>
    <row r="29" customFormat="false" ht="14.25" hidden="false" customHeight="true" outlineLevel="0" collapsed="false">
      <c r="A29" s="1" t="n">
        <f aca="false">A28+1</f>
        <v>26</v>
      </c>
      <c r="C29" s="32" t="e">
        <f aca="false">IF(F29=F28,"-",COUNTA($D$4:D29))</f>
        <v>#N/A</v>
      </c>
      <c r="D29" s="6" t="e">
        <f aca="false">VLOOKUP(A29,$J$79:$K$148,2,0)</f>
        <v>#N/A</v>
      </c>
      <c r="E29" s="6" t="e">
        <f aca="false">VLOOKUP($D29,$D$79:$F$148,2,0)</f>
        <v>#N/A</v>
      </c>
      <c r="F29" s="33" t="e">
        <f aca="false">VLOOKUP($D29,$D$79:$F$148,3,0)</f>
        <v>#N/A</v>
      </c>
      <c r="G29" s="34"/>
      <c r="J29" s="6" t="n">
        <v>26</v>
      </c>
      <c r="K29" s="6" t="s">
        <v>34</v>
      </c>
      <c r="L29" s="13"/>
      <c r="M29" s="13"/>
      <c r="N29" s="14" t="str">
        <f aca="false">IF(OR(M29="",L29=""),"",IF(L29&gt;M29,"I",IF(L29=M29,"X","II")))</f>
        <v/>
      </c>
      <c r="P29" s="15"/>
      <c r="R29" s="15"/>
    </row>
    <row r="30" customFormat="false" ht="14.25" hidden="false" customHeight="true" outlineLevel="0" collapsed="false">
      <c r="A30" s="1" t="n">
        <f aca="false">A29+1</f>
        <v>27</v>
      </c>
      <c r="C30" s="32" t="e">
        <f aca="false">IF(F30=F29,"-",COUNTA($D$4:D30))</f>
        <v>#N/A</v>
      </c>
      <c r="D30" s="6" t="e">
        <f aca="false">VLOOKUP(A30,$J$79:$K$148,2,0)</f>
        <v>#N/A</v>
      </c>
      <c r="E30" s="6" t="e">
        <f aca="false">VLOOKUP($D30,$D$79:$F$148,2,0)</f>
        <v>#N/A</v>
      </c>
      <c r="F30" s="33" t="e">
        <f aca="false">VLOOKUP($D30,$D$79:$F$148,3,0)</f>
        <v>#N/A</v>
      </c>
      <c r="G30" s="34"/>
      <c r="J30" s="6" t="n">
        <v>27</v>
      </c>
      <c r="K30" s="6" t="s">
        <v>35</v>
      </c>
      <c r="L30" s="13"/>
      <c r="M30" s="13"/>
      <c r="N30" s="14" t="str">
        <f aca="false">IF(OR(M30="",L30=""),"",IF(L30&gt;M30,"I",IF(L30=M30,"X","II")))</f>
        <v/>
      </c>
      <c r="P30" s="15"/>
      <c r="R30" s="6"/>
    </row>
    <row r="31" customFormat="false" ht="14.25" hidden="false" customHeight="true" outlineLevel="0" collapsed="false">
      <c r="A31" s="1" t="n">
        <f aca="false">A30+1</f>
        <v>28</v>
      </c>
      <c r="C31" s="32" t="e">
        <f aca="false">IF(F31=F30,"-",COUNTA($D$4:D31))</f>
        <v>#N/A</v>
      </c>
      <c r="D31" s="6" t="e">
        <f aca="false">VLOOKUP(A31,$J$79:$K$148,2,0)</f>
        <v>#N/A</v>
      </c>
      <c r="E31" s="6" t="e">
        <f aca="false">VLOOKUP($D31,$D$79:$F$148,2,0)</f>
        <v>#N/A</v>
      </c>
      <c r="F31" s="33" t="e">
        <f aca="false">VLOOKUP($D31,$D$79:$F$148,3,0)</f>
        <v>#N/A</v>
      </c>
      <c r="G31" s="34"/>
      <c r="J31" s="6" t="n">
        <v>28</v>
      </c>
      <c r="K31" s="6" t="s">
        <v>36</v>
      </c>
      <c r="L31" s="13"/>
      <c r="M31" s="13"/>
      <c r="N31" s="14" t="str">
        <f aca="false">IF(OR(M31="",L31=""),"",IF(L31&gt;M31,"I",IF(L31=M31,"X","II")))</f>
        <v/>
      </c>
      <c r="P31" s="15"/>
      <c r="R31" s="7" t="s">
        <v>37</v>
      </c>
    </row>
    <row r="32" customFormat="false" ht="14.25" hidden="false" customHeight="true" outlineLevel="0" collapsed="false">
      <c r="A32" s="1" t="n">
        <f aca="false">A31+1</f>
        <v>29</v>
      </c>
      <c r="C32" s="32" t="e">
        <f aca="false">IF(F32=F31,"-",COUNTA($D$4:D32))</f>
        <v>#N/A</v>
      </c>
      <c r="D32" s="6" t="e">
        <f aca="false">VLOOKUP(A32,$J$79:$K$148,2,0)</f>
        <v>#N/A</v>
      </c>
      <c r="E32" s="6" t="e">
        <f aca="false">VLOOKUP($D32,$D$79:$F$148,2,0)</f>
        <v>#N/A</v>
      </c>
      <c r="F32" s="33" t="e">
        <f aca="false">VLOOKUP($D32,$D$79:$F$148,3,0)</f>
        <v>#N/A</v>
      </c>
      <c r="G32" s="34"/>
      <c r="J32" s="6" t="n">
        <v>29</v>
      </c>
      <c r="K32" s="6" t="s">
        <v>38</v>
      </c>
      <c r="L32" s="13"/>
      <c r="M32" s="13"/>
      <c r="N32" s="14" t="str">
        <f aca="false">IF(OR(M32="",L32=""),"",IF(L32&gt;M32,"I",IF(L32=M32,"X","II")))</f>
        <v/>
      </c>
      <c r="P32" s="15"/>
      <c r="R32" s="15"/>
    </row>
    <row r="33" customFormat="false" ht="14.25" hidden="false" customHeight="true" outlineLevel="0" collapsed="false">
      <c r="A33" s="1" t="n">
        <f aca="false">A32+1</f>
        <v>30</v>
      </c>
      <c r="C33" s="32" t="e">
        <f aca="false">IF(F33=F32,"-",COUNTA($D$4:D33))</f>
        <v>#N/A</v>
      </c>
      <c r="D33" s="6" t="e">
        <f aca="false">VLOOKUP(A33,$J$79:$K$148,2,0)</f>
        <v>#N/A</v>
      </c>
      <c r="E33" s="6" t="e">
        <f aca="false">VLOOKUP($D33,$D$79:$F$148,2,0)</f>
        <v>#N/A</v>
      </c>
      <c r="F33" s="33" t="e">
        <f aca="false">VLOOKUP($D33,$D$79:$F$148,3,0)</f>
        <v>#N/A</v>
      </c>
      <c r="G33" s="34"/>
      <c r="J33" s="6" t="n">
        <v>30</v>
      </c>
      <c r="K33" s="6" t="s">
        <v>39</v>
      </c>
      <c r="L33" s="13"/>
      <c r="M33" s="13"/>
      <c r="N33" s="14" t="str">
        <f aca="false">IF(OR(M33="",L33=""),"",IF(L33&gt;M33,"I",IF(L33=M33,"X","II")))</f>
        <v/>
      </c>
      <c r="P33" s="15"/>
      <c r="R33" s="15"/>
    </row>
    <row r="34" customFormat="false" ht="14.25" hidden="false" customHeight="true" outlineLevel="0" collapsed="false">
      <c r="A34" s="1" t="n">
        <f aca="false">A33+1</f>
        <v>31</v>
      </c>
      <c r="C34" s="32" t="e">
        <f aca="false">IF(F34=F33,"-",COUNTA($D$4:D34))</f>
        <v>#N/A</v>
      </c>
      <c r="D34" s="6" t="e">
        <f aca="false">VLOOKUP(A34,$J$79:$K$148,2,0)</f>
        <v>#N/A</v>
      </c>
      <c r="E34" s="6" t="e">
        <f aca="false">VLOOKUP($D34,$D$79:$F$148,2,0)</f>
        <v>#N/A</v>
      </c>
      <c r="F34" s="33" t="e">
        <f aca="false">VLOOKUP($D34,$D$79:$F$148,3,0)</f>
        <v>#N/A</v>
      </c>
      <c r="G34" s="34"/>
      <c r="J34" s="6" t="n">
        <v>31</v>
      </c>
      <c r="K34" s="6" t="s">
        <v>40</v>
      </c>
      <c r="L34" s="13"/>
      <c r="M34" s="13"/>
      <c r="N34" s="14" t="str">
        <f aca="false">IF(OR(M34="",L34=""),"",IF(L34&gt;M34,"I",IF(L34=M34,"X","II")))</f>
        <v/>
      </c>
      <c r="P34" s="15"/>
      <c r="R34" s="15"/>
    </row>
    <row r="35" customFormat="false" ht="14.25" hidden="false" customHeight="true" outlineLevel="0" collapsed="false">
      <c r="A35" s="1" t="n">
        <f aca="false">A34+1</f>
        <v>32</v>
      </c>
      <c r="C35" s="32" t="e">
        <f aca="false">IF(F35=F34,"-",COUNTA($D$4:D35))</f>
        <v>#N/A</v>
      </c>
      <c r="D35" s="6" t="e">
        <f aca="false">VLOOKUP(A35,$J$79:$K$148,2,0)</f>
        <v>#N/A</v>
      </c>
      <c r="E35" s="6" t="e">
        <f aca="false">VLOOKUP($D35,$D$79:$F$148,2,0)</f>
        <v>#N/A</v>
      </c>
      <c r="F35" s="33" t="e">
        <f aca="false">VLOOKUP($D35,$D$79:$F$148,3,0)</f>
        <v>#N/A</v>
      </c>
      <c r="G35" s="34"/>
      <c r="J35" s="6" t="n">
        <v>32</v>
      </c>
      <c r="K35" s="6" t="s">
        <v>41</v>
      </c>
      <c r="L35" s="13"/>
      <c r="M35" s="13"/>
      <c r="N35" s="14" t="str">
        <f aca="false">IF(OR(M35="",L35=""),"",IF(L35&gt;M35,"I",IF(L35=M35,"X","II")))</f>
        <v/>
      </c>
      <c r="P35" s="15"/>
      <c r="R35" s="15"/>
    </row>
    <row r="36" customFormat="false" ht="14.25" hidden="false" customHeight="true" outlineLevel="0" collapsed="false">
      <c r="A36" s="1" t="n">
        <f aca="false">A35+1</f>
        <v>33</v>
      </c>
      <c r="C36" s="32" t="e">
        <f aca="false">IF(F36=F35,"-",COUNTA($D$4:D36))</f>
        <v>#N/A</v>
      </c>
      <c r="D36" s="6" t="e">
        <f aca="false">VLOOKUP(A36,$J$79:$K$148,2,0)</f>
        <v>#N/A</v>
      </c>
      <c r="E36" s="6" t="e">
        <f aca="false">VLOOKUP($D36,$D$79:$F$148,2,0)</f>
        <v>#N/A</v>
      </c>
      <c r="F36" s="33" t="e">
        <f aca="false">VLOOKUP($D36,$D$79:$F$148,3,0)</f>
        <v>#N/A</v>
      </c>
      <c r="G36" s="34"/>
      <c r="J36" s="6" t="n">
        <v>33</v>
      </c>
      <c r="K36" s="6" t="s">
        <v>42</v>
      </c>
      <c r="L36" s="13"/>
      <c r="M36" s="13"/>
      <c r="N36" s="14" t="str">
        <f aca="false">IF(OR(M36="",L36=""),"",IF(L36&gt;M36,"I",IF(L36=M36,"X","II")))</f>
        <v/>
      </c>
      <c r="R36" s="6"/>
    </row>
    <row r="37" customFormat="false" ht="14.25" hidden="false" customHeight="true" outlineLevel="0" collapsed="false">
      <c r="A37" s="1" t="n">
        <f aca="false">A36+1</f>
        <v>34</v>
      </c>
      <c r="C37" s="32" t="e">
        <f aca="false">IF(F37=F36,"-",COUNTA($D$4:D37))</f>
        <v>#N/A</v>
      </c>
      <c r="D37" s="6" t="e">
        <f aca="false">VLOOKUP(A37,$J$79:$K$148,2,0)</f>
        <v>#N/A</v>
      </c>
      <c r="E37" s="6" t="e">
        <f aca="false">VLOOKUP($D37,$D$79:$F$148,2,0)</f>
        <v>#N/A</v>
      </c>
      <c r="F37" s="33" t="e">
        <f aca="false">VLOOKUP($D37,$D$79:$F$148,3,0)</f>
        <v>#N/A</v>
      </c>
      <c r="G37" s="34"/>
      <c r="J37" s="6" t="n">
        <v>34</v>
      </c>
      <c r="K37" s="6" t="s">
        <v>43</v>
      </c>
      <c r="L37" s="13"/>
      <c r="M37" s="13"/>
      <c r="N37" s="14" t="str">
        <f aca="false">IF(OR(M37="",L37=""),"",IF(L37&gt;M37,"I",IF(L37=M37,"X","II")))</f>
        <v/>
      </c>
      <c r="R37" s="7" t="s">
        <v>44</v>
      </c>
    </row>
    <row r="38" customFormat="false" ht="14.25" hidden="false" customHeight="true" outlineLevel="0" collapsed="false">
      <c r="A38" s="1" t="n">
        <f aca="false">A37+1</f>
        <v>35</v>
      </c>
      <c r="C38" s="32" t="e">
        <f aca="false">IF(F38=F37,"-",COUNTA($D$4:D38))</f>
        <v>#N/A</v>
      </c>
      <c r="D38" s="6" t="e">
        <f aca="false">VLOOKUP(A38,$J$79:$K$148,2,0)</f>
        <v>#N/A</v>
      </c>
      <c r="E38" s="6" t="e">
        <f aca="false">VLOOKUP($D38,$D$79:$F$148,2,0)</f>
        <v>#N/A</v>
      </c>
      <c r="F38" s="33" t="e">
        <f aca="false">VLOOKUP($D38,$D$79:$F$148,3,0)</f>
        <v>#N/A</v>
      </c>
      <c r="G38" s="34"/>
      <c r="J38" s="6" t="n">
        <v>35</v>
      </c>
      <c r="K38" s="6" t="s">
        <v>45</v>
      </c>
      <c r="L38" s="13"/>
      <c r="M38" s="13"/>
      <c r="N38" s="14" t="str">
        <f aca="false">IF(OR(M38="",L38=""),"",IF(L38&gt;M38,"I",IF(L38=M38,"X","II")))</f>
        <v/>
      </c>
      <c r="R38" s="15"/>
    </row>
    <row r="39" customFormat="false" ht="14.25" hidden="false" customHeight="true" outlineLevel="0" collapsed="false">
      <c r="A39" s="1" t="n">
        <f aca="false">A38+1</f>
        <v>36</v>
      </c>
      <c r="C39" s="32" t="e">
        <f aca="false">IF(F39=F38,"-",COUNTA($D$4:D39))</f>
        <v>#N/A</v>
      </c>
      <c r="D39" s="6" t="e">
        <f aca="false">VLOOKUP(A39,$J$79:$K$148,2,0)</f>
        <v>#N/A</v>
      </c>
      <c r="E39" s="6" t="e">
        <f aca="false">VLOOKUP($D39,$D$79:$F$148,2,0)</f>
        <v>#N/A</v>
      </c>
      <c r="F39" s="33" t="e">
        <f aca="false">VLOOKUP($D39,$D$79:$F$148,3,0)</f>
        <v>#N/A</v>
      </c>
      <c r="G39" s="34"/>
      <c r="J39" s="6" t="n">
        <v>36</v>
      </c>
      <c r="K39" s="6" t="s">
        <v>46</v>
      </c>
      <c r="L39" s="13"/>
      <c r="M39" s="13"/>
      <c r="N39" s="14" t="str">
        <f aca="false">IF(OR(M39="",L39=""),"",IF(L39&gt;M39,"I",IF(L39=M39,"X","II")))</f>
        <v/>
      </c>
      <c r="R39" s="15"/>
    </row>
    <row r="40" customFormat="false" ht="14.25" hidden="false" customHeight="true" outlineLevel="0" collapsed="false">
      <c r="A40" s="1" t="n">
        <f aca="false">A39+1</f>
        <v>37</v>
      </c>
      <c r="C40" s="32" t="e">
        <f aca="false">IF(F40=F39,"-",COUNTA($D$4:D40))</f>
        <v>#N/A</v>
      </c>
      <c r="D40" s="6" t="e">
        <f aca="false">VLOOKUP(A40,$J$79:$K$148,2,0)</f>
        <v>#N/A</v>
      </c>
      <c r="E40" s="6" t="e">
        <f aca="false">VLOOKUP($D40,$D$79:$F$148,2,0)</f>
        <v>#N/A</v>
      </c>
      <c r="F40" s="33" t="e">
        <f aca="false">VLOOKUP($D40,$D$79:$F$148,3,0)</f>
        <v>#N/A</v>
      </c>
      <c r="G40" s="35"/>
      <c r="J40" s="6" t="n">
        <v>37</v>
      </c>
      <c r="K40" s="6" t="s">
        <v>47</v>
      </c>
      <c r="L40" s="13"/>
      <c r="M40" s="13"/>
      <c r="N40" s="14" t="str">
        <f aca="false">IF(OR(M40="",L40=""),"",IF(L40&gt;M40,"I",IF(L40=M40,"X","II")))</f>
        <v/>
      </c>
      <c r="R40" s="6"/>
    </row>
    <row r="41" customFormat="false" ht="14.25" hidden="false" customHeight="true" outlineLevel="0" collapsed="false">
      <c r="A41" s="1" t="n">
        <f aca="false">A40+1</f>
        <v>38</v>
      </c>
      <c r="C41" s="32" t="e">
        <f aca="false">IF(F41=F40,"-",COUNTA($D$4:D41))</f>
        <v>#N/A</v>
      </c>
      <c r="D41" s="6" t="e">
        <f aca="false">VLOOKUP(A41,$J$79:$K$148,2,0)</f>
        <v>#N/A</v>
      </c>
      <c r="E41" s="6" t="e">
        <f aca="false">VLOOKUP($D41,$D$79:$F$148,2,0)</f>
        <v>#N/A</v>
      </c>
      <c r="F41" s="33" t="e">
        <f aca="false">VLOOKUP($D41,$D$79:$F$148,3,0)</f>
        <v>#N/A</v>
      </c>
      <c r="G41" s="34"/>
      <c r="J41" s="6" t="n">
        <v>38</v>
      </c>
      <c r="K41" s="6" t="s">
        <v>48</v>
      </c>
      <c r="L41" s="13"/>
      <c r="M41" s="13"/>
      <c r="N41" s="14" t="str">
        <f aca="false">IF(OR(M41="",L41=""),"",IF(L41&gt;M41,"I",IF(L41=M41,"X","II")))</f>
        <v/>
      </c>
      <c r="R41" s="7" t="s">
        <v>49</v>
      </c>
    </row>
    <row r="42" customFormat="false" ht="14.25" hidden="false" customHeight="true" outlineLevel="0" collapsed="false">
      <c r="A42" s="1" t="n">
        <f aca="false">A41+1</f>
        <v>39</v>
      </c>
      <c r="C42" s="32" t="e">
        <f aca="false">IF(F42=F41,"-",COUNTA($D$4:D42))</f>
        <v>#N/A</v>
      </c>
      <c r="D42" s="6" t="e">
        <f aca="false">VLOOKUP(A42,$J$79:$K$148,2,0)</f>
        <v>#N/A</v>
      </c>
      <c r="E42" s="6" t="e">
        <f aca="false">VLOOKUP($D42,$D$79:$F$148,2,0)</f>
        <v>#N/A</v>
      </c>
      <c r="F42" s="33" t="e">
        <f aca="false">VLOOKUP($D42,$D$79:$F$148,3,0)</f>
        <v>#N/A</v>
      </c>
      <c r="G42" s="34"/>
      <c r="J42" s="6" t="n">
        <v>39</v>
      </c>
      <c r="K42" s="6" t="s">
        <v>50</v>
      </c>
      <c r="L42" s="13"/>
      <c r="M42" s="13"/>
      <c r="N42" s="14" t="str">
        <f aca="false">IF(OR(M42="",L42=""),"",IF(L42&gt;M42,"I",IF(L42=M42,"X","II")))</f>
        <v/>
      </c>
      <c r="R42" s="15"/>
    </row>
    <row r="43" customFormat="false" ht="14.25" hidden="false" customHeight="true" outlineLevel="0" collapsed="false">
      <c r="A43" s="1" t="n">
        <f aca="false">A42+1</f>
        <v>40</v>
      </c>
      <c r="C43" s="28" t="e">
        <f aca="false">IF(F43=F42,"-",COUNTA($D$4:D43))</f>
        <v>#N/A</v>
      </c>
      <c r="D43" s="29" t="e">
        <f aca="false">VLOOKUP(A43,$J$79:$K$148,2,0)</f>
        <v>#N/A</v>
      </c>
      <c r="E43" s="29" t="e">
        <f aca="false">VLOOKUP($D43,$D$79:$F$148,2,0)</f>
        <v>#N/A</v>
      </c>
      <c r="F43" s="30" t="e">
        <f aca="false">VLOOKUP($D43,$D$79:$F$148,3,0)</f>
        <v>#N/A</v>
      </c>
      <c r="G43" s="31" t="n">
        <v>50</v>
      </c>
      <c r="J43" s="6" t="n">
        <v>40</v>
      </c>
      <c r="K43" s="6" t="s">
        <v>51</v>
      </c>
      <c r="L43" s="13"/>
      <c r="M43" s="13"/>
      <c r="N43" s="14" t="str">
        <f aca="false">IF(OR(M43="",L43=""),"",IF(L43&gt;M43,"I",IF(L43=M43,"X","II")))</f>
        <v/>
      </c>
      <c r="R43" s="6"/>
    </row>
    <row r="44" customFormat="false" ht="14.25" hidden="false" customHeight="true" outlineLevel="0" collapsed="false">
      <c r="A44" s="1" t="n">
        <f aca="false">A43+1</f>
        <v>41</v>
      </c>
      <c r="C44" s="32" t="e">
        <f aca="false">IF(F44=F43,"-",COUNTA($D$4:D44))</f>
        <v>#N/A</v>
      </c>
      <c r="D44" s="6" t="e">
        <f aca="false">VLOOKUP(A44,$J$79:$K$148,2,0)</f>
        <v>#N/A</v>
      </c>
      <c r="E44" s="6" t="e">
        <f aca="false">VLOOKUP($D44,$D$79:$F$148,2,0)</f>
        <v>#N/A</v>
      </c>
      <c r="F44" s="33" t="e">
        <f aca="false">VLOOKUP($D44,$D$79:$F$148,3,0)</f>
        <v>#N/A</v>
      </c>
      <c r="G44" s="34"/>
      <c r="J44" s="6" t="n">
        <v>41</v>
      </c>
      <c r="K44" s="6" t="s">
        <v>52</v>
      </c>
      <c r="L44" s="13"/>
      <c r="M44" s="13"/>
      <c r="N44" s="14" t="str">
        <f aca="false">IF(OR(M44="",L44=""),"",IF(L44&gt;M44,"I",IF(L44=M44,"X","II")))</f>
        <v/>
      </c>
    </row>
    <row r="45" customFormat="false" ht="14.25" hidden="false" customHeight="true" outlineLevel="0" collapsed="false">
      <c r="A45" s="1" t="n">
        <f aca="false">A44+1</f>
        <v>42</v>
      </c>
      <c r="C45" s="32" t="e">
        <f aca="false">IF(F45=F44,"-",COUNTA($D$4:D45))</f>
        <v>#N/A</v>
      </c>
      <c r="D45" s="6" t="e">
        <f aca="false">VLOOKUP(A45,$J$79:$K$148,2,0)</f>
        <v>#N/A</v>
      </c>
      <c r="E45" s="6" t="e">
        <f aca="false">VLOOKUP($D45,$D$79:$F$148,2,0)</f>
        <v>#N/A</v>
      </c>
      <c r="F45" s="33" t="e">
        <f aca="false">VLOOKUP($D45,$D$79:$F$148,3,0)</f>
        <v>#N/A</v>
      </c>
      <c r="G45" s="34"/>
      <c r="J45" s="6" t="n">
        <v>42</v>
      </c>
      <c r="K45" s="6" t="s">
        <v>53</v>
      </c>
      <c r="L45" s="13"/>
      <c r="M45" s="13"/>
      <c r="N45" s="14" t="str">
        <f aca="false">IF(OR(M45="",L45=""),"",IF(L45&gt;M45,"I",IF(L45=M45,"X","II")))</f>
        <v/>
      </c>
    </row>
    <row r="46" customFormat="false" ht="14.25" hidden="false" customHeight="true" outlineLevel="0" collapsed="false">
      <c r="A46" s="1" t="n">
        <f aca="false">A45+1</f>
        <v>43</v>
      </c>
      <c r="C46" s="32" t="e">
        <f aca="false">IF(F46=F45,"-",COUNTA($D$4:D46))</f>
        <v>#N/A</v>
      </c>
      <c r="D46" s="6" t="e">
        <f aca="false">VLOOKUP(A46,$J$79:$K$148,2,0)</f>
        <v>#N/A</v>
      </c>
      <c r="E46" s="6" t="e">
        <f aca="false">VLOOKUP($D46,$D$79:$F$148,2,0)</f>
        <v>#N/A</v>
      </c>
      <c r="F46" s="33" t="e">
        <f aca="false">VLOOKUP($D46,$D$79:$F$148,3,0)</f>
        <v>#N/A</v>
      </c>
      <c r="G46" s="34"/>
      <c r="J46" s="6" t="n">
        <v>43</v>
      </c>
      <c r="K46" s="6" t="s">
        <v>54</v>
      </c>
      <c r="L46" s="13"/>
      <c r="M46" s="13"/>
      <c r="N46" s="14" t="str">
        <f aca="false">IF(OR(M46="",L46=""),"",IF(L46&gt;M46,"I",IF(L46=M46,"X","II")))</f>
        <v/>
      </c>
    </row>
    <row r="47" customFormat="false" ht="14.25" hidden="false" customHeight="true" outlineLevel="0" collapsed="false">
      <c r="A47" s="1" t="n">
        <f aca="false">A46+1</f>
        <v>44</v>
      </c>
      <c r="C47" s="32" t="e">
        <f aca="false">IF(F47=F46,"-",COUNTA($D$4:D47))</f>
        <v>#N/A</v>
      </c>
      <c r="D47" s="6" t="e">
        <f aca="false">VLOOKUP(A47,$J$79:$K$148,2,0)</f>
        <v>#N/A</v>
      </c>
      <c r="E47" s="6" t="e">
        <f aca="false">VLOOKUP($D47,$D$79:$F$148,2,0)</f>
        <v>#N/A</v>
      </c>
      <c r="F47" s="33" t="e">
        <f aca="false">VLOOKUP($D47,$D$79:$F$148,3,0)</f>
        <v>#N/A</v>
      </c>
      <c r="G47" s="34"/>
      <c r="J47" s="6" t="n">
        <v>44</v>
      </c>
      <c r="K47" s="6" t="s">
        <v>55</v>
      </c>
      <c r="L47" s="13"/>
      <c r="M47" s="13"/>
      <c r="N47" s="14" t="str">
        <f aca="false">IF(OR(M47="",L47=""),"",IF(L47&gt;M47,"I",IF(L47=M47,"X","II")))</f>
        <v/>
      </c>
    </row>
    <row r="48" customFormat="false" ht="14.25" hidden="false" customHeight="true" outlineLevel="0" collapsed="false">
      <c r="A48" s="1" t="n">
        <f aca="false">A47+1</f>
        <v>45</v>
      </c>
      <c r="C48" s="32" t="e">
        <f aca="false">IF(F48=F47,"-",COUNTA($D$4:D48))</f>
        <v>#N/A</v>
      </c>
      <c r="D48" s="6" t="e">
        <f aca="false">VLOOKUP(A48,$J$79:$K$148,2,0)</f>
        <v>#N/A</v>
      </c>
      <c r="E48" s="6" t="e">
        <f aca="false">VLOOKUP($D48,$D$79:$F$148,2,0)</f>
        <v>#N/A</v>
      </c>
      <c r="F48" s="33" t="e">
        <f aca="false">VLOOKUP($D48,$D$79:$F$148,3,0)</f>
        <v>#N/A</v>
      </c>
      <c r="G48" s="34"/>
      <c r="J48" s="6" t="n">
        <v>45</v>
      </c>
      <c r="K48" s="6" t="s">
        <v>56</v>
      </c>
      <c r="L48" s="13"/>
      <c r="M48" s="13"/>
      <c r="N48" s="14" t="str">
        <f aca="false">IF(OR(M48="",L48=""),"",IF(L48&gt;M48,"I",IF(L48=M48,"X","II")))</f>
        <v/>
      </c>
    </row>
    <row r="49" customFormat="false" ht="14.25" hidden="false" customHeight="true" outlineLevel="0" collapsed="false">
      <c r="A49" s="1" t="n">
        <f aca="false">A48+1</f>
        <v>46</v>
      </c>
      <c r="C49" s="32" t="e">
        <f aca="false">IF(F49=F48,"-",COUNTA($D$4:D49))</f>
        <v>#N/A</v>
      </c>
      <c r="D49" s="6" t="e">
        <f aca="false">VLOOKUP(A49,$J$79:$K$148,2,0)</f>
        <v>#N/A</v>
      </c>
      <c r="E49" s="6" t="e">
        <f aca="false">VLOOKUP($D49,$D$79:$F$148,2,0)</f>
        <v>#N/A</v>
      </c>
      <c r="F49" s="33" t="e">
        <f aca="false">VLOOKUP($D49,$D$79:$F$148,3,0)</f>
        <v>#N/A</v>
      </c>
      <c r="G49" s="34"/>
      <c r="J49" s="6" t="n">
        <v>46</v>
      </c>
      <c r="K49" s="6" t="s">
        <v>57</v>
      </c>
      <c r="L49" s="13"/>
      <c r="M49" s="13"/>
      <c r="N49" s="14" t="str">
        <f aca="false">IF(OR(M49="",L49=""),"",IF(L49&gt;M49,"I",IF(L49=M49,"X","II")))</f>
        <v/>
      </c>
    </row>
    <row r="50" customFormat="false" ht="14.25" hidden="false" customHeight="true" outlineLevel="0" collapsed="false">
      <c r="A50" s="1" t="n">
        <f aca="false">A49+1</f>
        <v>47</v>
      </c>
      <c r="C50" s="32" t="e">
        <f aca="false">IF(F50=F49,"-",COUNTA($D$4:D50))</f>
        <v>#N/A</v>
      </c>
      <c r="D50" s="6" t="e">
        <f aca="false">VLOOKUP(A50,$J$79:$K$148,2,0)</f>
        <v>#N/A</v>
      </c>
      <c r="E50" s="6" t="e">
        <f aca="false">VLOOKUP($D50,$D$79:$F$148,2,0)</f>
        <v>#N/A</v>
      </c>
      <c r="F50" s="33" t="e">
        <f aca="false">VLOOKUP($D50,$D$79:$F$148,3,0)</f>
        <v>#N/A</v>
      </c>
      <c r="G50" s="34"/>
      <c r="J50" s="6" t="n">
        <v>47</v>
      </c>
      <c r="K50" s="6" t="s">
        <v>58</v>
      </c>
      <c r="L50" s="13"/>
      <c r="M50" s="13"/>
      <c r="N50" s="14" t="str">
        <f aca="false">IF(OR(M50="",L50=""),"",IF(L50&gt;M50,"I",IF(L50=M50,"X","II")))</f>
        <v/>
      </c>
    </row>
    <row r="51" customFormat="false" ht="14.25" hidden="false" customHeight="true" outlineLevel="0" collapsed="false">
      <c r="A51" s="1" t="n">
        <f aca="false">A50+1</f>
        <v>48</v>
      </c>
      <c r="C51" s="32" t="e">
        <f aca="false">IF(F51=F50,"-",COUNTA($D$4:D51))</f>
        <v>#N/A</v>
      </c>
      <c r="D51" s="6" t="e">
        <f aca="false">VLOOKUP(A51,$J$79:$K$148,2,0)</f>
        <v>#N/A</v>
      </c>
      <c r="E51" s="6" t="e">
        <f aca="false">VLOOKUP($D51,$D$79:$F$148,2,0)</f>
        <v>#N/A</v>
      </c>
      <c r="F51" s="33" t="e">
        <f aca="false">VLOOKUP($D51,$D$79:$F$148,3,0)</f>
        <v>#N/A</v>
      </c>
      <c r="G51" s="34"/>
      <c r="J51" s="6" t="n">
        <v>48</v>
      </c>
      <c r="K51" s="6" t="s">
        <v>59</v>
      </c>
      <c r="L51" s="13"/>
      <c r="M51" s="13"/>
      <c r="N51" s="14" t="str">
        <f aca="false">IF(OR(M51="",L51=""),"",IF(L51&gt;M51,"I",IF(L51=M51,"X","II")))</f>
        <v/>
      </c>
    </row>
    <row r="52" customFormat="false" ht="14.25" hidden="false" customHeight="true" outlineLevel="0" collapsed="false">
      <c r="A52" s="1" t="n">
        <f aca="false">A51+1</f>
        <v>49</v>
      </c>
      <c r="C52" s="32" t="e">
        <f aca="false">IF(F52=F51,"-",COUNTA($D$4:D52))</f>
        <v>#N/A</v>
      </c>
      <c r="D52" s="6" t="e">
        <f aca="false">VLOOKUP(A52,$J$79:$K$148,2,0)</f>
        <v>#N/A</v>
      </c>
      <c r="E52" s="6" t="e">
        <f aca="false">VLOOKUP($D52,$D$79:$F$148,2,0)</f>
        <v>#N/A</v>
      </c>
      <c r="F52" s="33" t="e">
        <f aca="false">VLOOKUP($D52,$D$79:$F$148,3,0)</f>
        <v>#N/A</v>
      </c>
      <c r="G52" s="34"/>
      <c r="J52" s="6" t="n">
        <v>49</v>
      </c>
      <c r="K52" s="6" t="s">
        <v>60</v>
      </c>
      <c r="L52" s="13"/>
      <c r="M52" s="13"/>
      <c r="N52" s="14" t="str">
        <f aca="false">IF(OR(M52="",L52=""),"",IF(L52&gt;M52,"I",IF(L52=M52,"X","II")))</f>
        <v/>
      </c>
    </row>
    <row r="53" customFormat="false" ht="14.25" hidden="false" customHeight="true" outlineLevel="0" collapsed="false">
      <c r="A53" s="1" t="n">
        <f aca="false">A52+1</f>
        <v>50</v>
      </c>
      <c r="C53" s="32" t="e">
        <f aca="false">IF(F53=F52,"-",COUNTA($D$4:D53))</f>
        <v>#N/A</v>
      </c>
      <c r="D53" s="6" t="e">
        <f aca="false">VLOOKUP(A53,$J$79:$K$148,2,0)</f>
        <v>#N/A</v>
      </c>
      <c r="E53" s="6" t="e">
        <f aca="false">VLOOKUP($D53,$D$79:$F$148,2,0)</f>
        <v>#N/A</v>
      </c>
      <c r="F53" s="33" t="e">
        <f aca="false">VLOOKUP($D53,$D$79:$F$148,3,0)</f>
        <v>#N/A</v>
      </c>
      <c r="G53" s="34"/>
      <c r="J53" s="6" t="n">
        <v>50</v>
      </c>
      <c r="K53" s="6" t="s">
        <v>61</v>
      </c>
      <c r="L53" s="13"/>
      <c r="M53" s="13"/>
      <c r="N53" s="14" t="str">
        <f aca="false">IF(OR(M53="",L53=""),"",IF(L53&gt;M53,"I",IF(L53=M53,"X","II")))</f>
        <v/>
      </c>
    </row>
    <row r="54" customFormat="false" ht="14.25" hidden="false" customHeight="true" outlineLevel="0" collapsed="false">
      <c r="A54" s="1" t="n">
        <f aca="false">A53+1</f>
        <v>51</v>
      </c>
      <c r="C54" s="32" t="e">
        <f aca="false">IF(F54=F53,"-",COUNTA($D$4:D54))</f>
        <v>#N/A</v>
      </c>
      <c r="D54" s="6" t="e">
        <f aca="false">VLOOKUP(A54,$J$79:$K$148,2,0)</f>
        <v>#N/A</v>
      </c>
      <c r="E54" s="6" t="e">
        <f aca="false">VLOOKUP($D54,$D$79:$F$148,2,0)</f>
        <v>#N/A</v>
      </c>
      <c r="F54" s="33" t="e">
        <f aca="false">VLOOKUP($D54,$D$79:$F$148,3,0)</f>
        <v>#N/A</v>
      </c>
      <c r="G54" s="34"/>
      <c r="J54" s="6" t="n">
        <v>51</v>
      </c>
      <c r="K54" s="6" t="s">
        <v>62</v>
      </c>
      <c r="L54" s="13"/>
      <c r="M54" s="13"/>
      <c r="N54" s="14" t="str">
        <f aca="false">IF(OR(M54="",L54=""),"",IF(L54&gt;M54,"I",IF(L54=M54,"X","II")))</f>
        <v/>
      </c>
    </row>
    <row r="55" customFormat="false" ht="14.25" hidden="false" customHeight="true" outlineLevel="0" collapsed="false">
      <c r="A55" s="1" t="n">
        <f aca="false">A54+1</f>
        <v>52</v>
      </c>
      <c r="C55" s="32" t="e">
        <f aca="false">IF(F55=F54,"-",COUNTA($D$4:D55))</f>
        <v>#N/A</v>
      </c>
      <c r="D55" s="6" t="e">
        <f aca="false">VLOOKUP(A55,$J$79:$K$148,2,0)</f>
        <v>#N/A</v>
      </c>
      <c r="E55" s="6" t="e">
        <f aca="false">VLOOKUP($D55,$D$79:$F$148,2,0)</f>
        <v>#N/A</v>
      </c>
      <c r="F55" s="33" t="e">
        <f aca="false">VLOOKUP($D55,$D$79:$F$148,3,0)</f>
        <v>#N/A</v>
      </c>
      <c r="G55" s="34"/>
      <c r="J55" s="6" t="n">
        <v>52</v>
      </c>
      <c r="K55" s="6" t="s">
        <v>63</v>
      </c>
      <c r="L55" s="13"/>
      <c r="M55" s="13"/>
      <c r="N55" s="14" t="str">
        <f aca="false">IF(OR(M55="",L55=""),"",IF(L55&gt;M55,"I",IF(L55=M55,"X","II")))</f>
        <v/>
      </c>
    </row>
    <row r="56" customFormat="false" ht="14.25" hidden="false" customHeight="true" outlineLevel="0" collapsed="false">
      <c r="A56" s="1" t="n">
        <f aca="false">A55+1</f>
        <v>53</v>
      </c>
      <c r="C56" s="32" t="e">
        <f aca="false">IF(F56=F55,"-",COUNTA($D$4:D56))</f>
        <v>#N/A</v>
      </c>
      <c r="D56" s="6" t="e">
        <f aca="false">VLOOKUP(A56,$J$79:$K$148,2,0)</f>
        <v>#N/A</v>
      </c>
      <c r="E56" s="6" t="e">
        <f aca="false">VLOOKUP($D56,$D$79:$F$148,2,0)</f>
        <v>#N/A</v>
      </c>
      <c r="F56" s="33" t="e">
        <f aca="false">VLOOKUP($D56,$D$79:$F$148,3,0)</f>
        <v>#N/A</v>
      </c>
      <c r="G56" s="34"/>
      <c r="J56" s="6" t="n">
        <v>53</v>
      </c>
      <c r="K56" s="6" t="s">
        <v>64</v>
      </c>
      <c r="L56" s="13"/>
      <c r="M56" s="13"/>
      <c r="N56" s="14" t="str">
        <f aca="false">IF(OR(M56="",L56=""),"",IF(L56&gt;M56,"I",IF(L56=M56,"X","II")))</f>
        <v/>
      </c>
    </row>
    <row r="57" customFormat="false" ht="14.25" hidden="false" customHeight="true" outlineLevel="0" collapsed="false">
      <c r="A57" s="1" t="n">
        <f aca="false">A56+1</f>
        <v>54</v>
      </c>
      <c r="C57" s="32" t="e">
        <f aca="false">IF(F57=F56,"-",COUNTA($D$4:D57))</f>
        <v>#N/A</v>
      </c>
      <c r="D57" s="6" t="e">
        <f aca="false">VLOOKUP(A57,$J$79:$K$148,2,0)</f>
        <v>#N/A</v>
      </c>
      <c r="E57" s="6" t="e">
        <f aca="false">VLOOKUP($D57,$D$79:$F$148,2,0)</f>
        <v>#N/A</v>
      </c>
      <c r="F57" s="33" t="e">
        <f aca="false">VLOOKUP($D57,$D$79:$F$148,3,0)</f>
        <v>#N/A</v>
      </c>
      <c r="G57" s="34"/>
      <c r="J57" s="6" t="n">
        <v>54</v>
      </c>
      <c r="K57" s="6" t="s">
        <v>65</v>
      </c>
      <c r="L57" s="13"/>
      <c r="M57" s="13"/>
      <c r="N57" s="14" t="str">
        <f aca="false">IF(OR(M57="",L57=""),"",IF(L57&gt;M57,"I",IF(L57=M57,"X","II")))</f>
        <v/>
      </c>
    </row>
    <row r="58" customFormat="false" ht="14.25" hidden="false" customHeight="true" outlineLevel="0" collapsed="false">
      <c r="A58" s="1" t="n">
        <f aca="false">A57+1</f>
        <v>55</v>
      </c>
      <c r="C58" s="28" t="e">
        <f aca="false">IF(F58=F57,"-",COUNTA($D$4:D58))</f>
        <v>#N/A</v>
      </c>
      <c r="D58" s="29" t="e">
        <f aca="false">VLOOKUP(A58,$J$79:$K$148,2,0)</f>
        <v>#N/A</v>
      </c>
      <c r="E58" s="29" t="e">
        <f aca="false">VLOOKUP($D58,$D$79:$F$148,2,0)</f>
        <v>#N/A</v>
      </c>
      <c r="F58" s="30" t="e">
        <f aca="false">VLOOKUP($D58,$D$79:$F$148,3,0)</f>
        <v>#N/A</v>
      </c>
      <c r="G58" s="31" t="n">
        <v>50</v>
      </c>
      <c r="J58" s="6" t="n">
        <v>55</v>
      </c>
      <c r="K58" s="6" t="s">
        <v>66</v>
      </c>
      <c r="L58" s="13"/>
      <c r="M58" s="13"/>
      <c r="N58" s="14" t="str">
        <f aca="false">IF(OR(M58="",L58=""),"",IF(L58&gt;M58,"I",IF(L58=M58,"X","II")))</f>
        <v/>
      </c>
    </row>
    <row r="59" customFormat="false" ht="14.25" hidden="false" customHeight="true" outlineLevel="0" collapsed="false">
      <c r="A59" s="1" t="n">
        <f aca="false">A58+1</f>
        <v>56</v>
      </c>
      <c r="C59" s="32" t="e">
        <f aca="false">IF(F59=F58,"-",COUNTA($D$4:D59))</f>
        <v>#N/A</v>
      </c>
      <c r="D59" s="6" t="e">
        <f aca="false">VLOOKUP(A59,$J$79:$K$148,2,0)</f>
        <v>#N/A</v>
      </c>
      <c r="E59" s="6" t="e">
        <f aca="false">VLOOKUP($D59,$D$79:$F$148,2,0)</f>
        <v>#N/A</v>
      </c>
      <c r="F59" s="33" t="e">
        <f aca="false">VLOOKUP($D59,$D$79:$F$148,3,0)</f>
        <v>#N/A</v>
      </c>
      <c r="G59" s="34"/>
      <c r="J59" s="6" t="n">
        <v>56</v>
      </c>
      <c r="K59" s="6" t="s">
        <v>67</v>
      </c>
      <c r="L59" s="13"/>
      <c r="M59" s="13"/>
      <c r="N59" s="14" t="str">
        <f aca="false">IF(OR(M59="",L59=""),"",IF(L59&gt;M59,"I",IF(L59=M59,"X","II")))</f>
        <v/>
      </c>
    </row>
    <row r="60" customFormat="false" ht="14.25" hidden="false" customHeight="true" outlineLevel="0" collapsed="false">
      <c r="A60" s="1" t="n">
        <f aca="false">A59+1</f>
        <v>57</v>
      </c>
      <c r="C60" s="32" t="e">
        <f aca="false">IF(F60=F59,"-",COUNTA($D$4:D60))</f>
        <v>#N/A</v>
      </c>
      <c r="D60" s="6" t="e">
        <f aca="false">VLOOKUP(A60,$J$79:$K$148,2,0)</f>
        <v>#N/A</v>
      </c>
      <c r="E60" s="6" t="e">
        <f aca="false">VLOOKUP($D60,$D$79:$F$148,2,0)</f>
        <v>#N/A</v>
      </c>
      <c r="F60" s="33" t="e">
        <f aca="false">VLOOKUP($D60,$D$79:$F$148,3,0)</f>
        <v>#N/A</v>
      </c>
      <c r="G60" s="34"/>
      <c r="J60" s="6" t="n">
        <v>57</v>
      </c>
      <c r="K60" s="6" t="s">
        <v>68</v>
      </c>
      <c r="L60" s="13"/>
      <c r="M60" s="13"/>
      <c r="N60" s="14" t="str">
        <f aca="false">IF(OR(M60="",L60=""),"",IF(L60&gt;M60,"I",IF(L60=M60,"X","II")))</f>
        <v/>
      </c>
    </row>
    <row r="61" customFormat="false" ht="14.25" hidden="false" customHeight="true" outlineLevel="0" collapsed="false">
      <c r="A61" s="1" t="n">
        <f aca="false">A60+1</f>
        <v>58</v>
      </c>
      <c r="C61" s="32" t="e">
        <f aca="false">IF(F61=F60,"-",COUNTA($D$4:D61))</f>
        <v>#N/A</v>
      </c>
      <c r="D61" s="6" t="e">
        <f aca="false">VLOOKUP(A61,$J$79:$K$148,2,0)</f>
        <v>#N/A</v>
      </c>
      <c r="E61" s="6" t="e">
        <f aca="false">VLOOKUP($D61,$D$79:$F$148,2,0)</f>
        <v>#N/A</v>
      </c>
      <c r="F61" s="33" t="e">
        <f aca="false">VLOOKUP($D61,$D$79:$F$148,3,0)</f>
        <v>#N/A</v>
      </c>
      <c r="G61" s="34"/>
      <c r="J61" s="6" t="n">
        <v>58</v>
      </c>
      <c r="K61" s="6" t="s">
        <v>69</v>
      </c>
      <c r="L61" s="13"/>
      <c r="M61" s="13"/>
      <c r="N61" s="14" t="str">
        <f aca="false">IF(OR(M61="",L61=""),"",IF(L61&gt;M61,"I",IF(L61=M61,"X","II")))</f>
        <v/>
      </c>
    </row>
    <row r="62" customFormat="false" ht="14.25" hidden="false" customHeight="true" outlineLevel="0" collapsed="false">
      <c r="A62" s="1" t="n">
        <f aca="false">A61+1</f>
        <v>59</v>
      </c>
      <c r="C62" s="32" t="e">
        <f aca="false">IF(F62=F61,"-",COUNTA($D$4:D62))</f>
        <v>#N/A</v>
      </c>
      <c r="D62" s="6" t="e">
        <f aca="false">VLOOKUP(A62,$J$79:$K$148,2,0)</f>
        <v>#N/A</v>
      </c>
      <c r="E62" s="6" t="e">
        <f aca="false">VLOOKUP($D62,$D$79:$F$148,2,0)</f>
        <v>#N/A</v>
      </c>
      <c r="F62" s="33" t="e">
        <f aca="false">VLOOKUP($D62,$D$79:$F$148,3,0)</f>
        <v>#N/A</v>
      </c>
      <c r="G62" s="34"/>
      <c r="J62" s="6" t="n">
        <v>59</v>
      </c>
      <c r="K62" s="6" t="s">
        <v>70</v>
      </c>
      <c r="L62" s="13"/>
      <c r="M62" s="13"/>
      <c r="N62" s="14" t="str">
        <f aca="false">IF(OR(M62="",L62=""),"",IF(L62&gt;M62,"I",IF(L62=M62,"X","II")))</f>
        <v/>
      </c>
    </row>
    <row r="63" customFormat="false" ht="14.25" hidden="false" customHeight="true" outlineLevel="0" collapsed="false">
      <c r="A63" s="1" t="n">
        <f aca="false">A62+1</f>
        <v>60</v>
      </c>
      <c r="C63" s="32" t="e">
        <f aca="false">IF(F63=F62,"-",COUNTA($D$4:D63))</f>
        <v>#N/A</v>
      </c>
      <c r="D63" s="6" t="e">
        <f aca="false">VLOOKUP(A63,$J$79:$K$148,2,0)</f>
        <v>#N/A</v>
      </c>
      <c r="E63" s="6" t="e">
        <f aca="false">VLOOKUP($D63,$D$79:$F$148,2,0)</f>
        <v>#N/A</v>
      </c>
      <c r="F63" s="33" t="e">
        <f aca="false">VLOOKUP($D63,$D$79:$F$148,3,0)</f>
        <v>#N/A</v>
      </c>
      <c r="G63" s="34"/>
      <c r="J63" s="6" t="n">
        <v>60</v>
      </c>
      <c r="K63" s="6" t="s">
        <v>71</v>
      </c>
      <c r="L63" s="13"/>
      <c r="M63" s="13"/>
      <c r="N63" s="14" t="str">
        <f aca="false">IF(OR(M63="",L63=""),"",IF(L63&gt;M63,"I",IF(L63=M63,"X","II")))</f>
        <v/>
      </c>
    </row>
    <row r="64" customFormat="false" ht="14.25" hidden="false" customHeight="true" outlineLevel="0" collapsed="false">
      <c r="A64" s="1" t="n">
        <f aca="false">A63+1</f>
        <v>61</v>
      </c>
      <c r="C64" s="32" t="e">
        <f aca="false">IF(F64=F63,"-",COUNTA($D$4:D64))</f>
        <v>#N/A</v>
      </c>
      <c r="D64" s="6" t="e">
        <f aca="false">VLOOKUP(A64,$J$79:$K$148,2,0)</f>
        <v>#N/A</v>
      </c>
      <c r="E64" s="6" t="e">
        <f aca="false">VLOOKUP($D64,$D$79:$F$148,2,0)</f>
        <v>#N/A</v>
      </c>
      <c r="F64" s="33" t="e">
        <f aca="false">VLOOKUP($D64,$D$79:$F$148,3,0)</f>
        <v>#N/A</v>
      </c>
      <c r="G64" s="34"/>
      <c r="J64" s="6" t="n">
        <v>61</v>
      </c>
      <c r="K64" s="6" t="s">
        <v>72</v>
      </c>
      <c r="L64" s="13"/>
      <c r="M64" s="13"/>
      <c r="N64" s="14" t="str">
        <f aca="false">IF(OR(M64="",L64=""),"",IF(L64&gt;M64,"I",IF(L64=M64,"X","II")))</f>
        <v/>
      </c>
    </row>
    <row r="65" customFormat="false" ht="14.25" hidden="false" customHeight="true" outlineLevel="0" collapsed="false">
      <c r="A65" s="1" t="n">
        <f aca="false">A64+1</f>
        <v>62</v>
      </c>
      <c r="C65" s="32" t="e">
        <f aca="false">IF(F65=F64,"-",COUNTA($D$4:D65))</f>
        <v>#N/A</v>
      </c>
      <c r="D65" s="6" t="e">
        <f aca="false">VLOOKUP(A65,$J$79:$K$148,2,0)</f>
        <v>#N/A</v>
      </c>
      <c r="E65" s="6" t="e">
        <f aca="false">VLOOKUP($D65,$D$79:$F$148,2,0)</f>
        <v>#N/A</v>
      </c>
      <c r="F65" s="33" t="e">
        <f aca="false">VLOOKUP($D65,$D$79:$F$148,3,0)</f>
        <v>#N/A</v>
      </c>
      <c r="G65" s="34"/>
      <c r="J65" s="6" t="n">
        <v>62</v>
      </c>
      <c r="K65" s="6" t="s">
        <v>73</v>
      </c>
      <c r="L65" s="13"/>
      <c r="M65" s="13"/>
      <c r="N65" s="14" t="str">
        <f aca="false">IF(OR(M65="",L65=""),"",IF(L65&gt;M65,"I",IF(L65=M65,"X","II")))</f>
        <v/>
      </c>
    </row>
    <row r="66" customFormat="false" ht="14.25" hidden="false" customHeight="true" outlineLevel="0" collapsed="false">
      <c r="A66" s="1" t="n">
        <f aca="false">A65+1</f>
        <v>63</v>
      </c>
      <c r="C66" s="32" t="e">
        <f aca="false">IF(F66=F65,"-",COUNTA($D$4:D66))</f>
        <v>#N/A</v>
      </c>
      <c r="D66" s="6" t="e">
        <f aca="false">VLOOKUP(A66,$J$79:$K$148,2,0)</f>
        <v>#N/A</v>
      </c>
      <c r="E66" s="6" t="e">
        <f aca="false">VLOOKUP($D66,$D$79:$F$148,2,0)</f>
        <v>#N/A</v>
      </c>
      <c r="F66" s="33" t="e">
        <f aca="false">VLOOKUP($D66,$D$79:$F$148,3,0)</f>
        <v>#N/A</v>
      </c>
      <c r="G66" s="34"/>
      <c r="J66" s="6" t="n">
        <v>63</v>
      </c>
      <c r="K66" s="6" t="s">
        <v>74</v>
      </c>
      <c r="L66" s="13"/>
      <c r="M66" s="13"/>
      <c r="N66" s="14" t="str">
        <f aca="false">IF(OR(M66="",L66=""),"",IF(L66&gt;M66,"I",IF(L66=M66,"X","II")))</f>
        <v/>
      </c>
    </row>
    <row r="67" customFormat="false" ht="14.25" hidden="false" customHeight="true" outlineLevel="0" collapsed="false">
      <c r="A67" s="1" t="n">
        <f aca="false">A66+1</f>
        <v>64</v>
      </c>
      <c r="C67" s="32" t="e">
        <f aca="false">IF(F67=F66,"-",COUNTA($D$4:D67))</f>
        <v>#N/A</v>
      </c>
      <c r="D67" s="6" t="e">
        <f aca="false">VLOOKUP(A67,$J$79:$K$148,2,0)</f>
        <v>#N/A</v>
      </c>
      <c r="E67" s="6" t="e">
        <f aca="false">VLOOKUP($D67,$D$79:$F$148,2,0)</f>
        <v>#N/A</v>
      </c>
      <c r="F67" s="33" t="e">
        <f aca="false">VLOOKUP($D67,$D$79:$F$148,3,0)</f>
        <v>#N/A</v>
      </c>
      <c r="G67" s="34"/>
      <c r="J67" s="6" t="n">
        <v>64</v>
      </c>
      <c r="K67" s="6" t="s">
        <v>75</v>
      </c>
      <c r="L67" s="13"/>
      <c r="M67" s="13"/>
      <c r="N67" s="14" t="str">
        <f aca="false">IF(OR(M67="",L67=""),"",IF(L67&gt;M67,"I",IF(L67=M67,"X","II")))</f>
        <v/>
      </c>
    </row>
    <row r="68" customFormat="false" ht="14.25" hidden="false" customHeight="true" outlineLevel="0" collapsed="false">
      <c r="A68" s="1" t="n">
        <f aca="false">A67+1</f>
        <v>65</v>
      </c>
      <c r="C68" s="32" t="e">
        <f aca="false">IF(F68=F67,"-",COUNTA($D$4:D68))</f>
        <v>#N/A</v>
      </c>
      <c r="D68" s="6" t="e">
        <f aca="false">VLOOKUP(A68,$J$79:$K$148,2,0)</f>
        <v>#N/A</v>
      </c>
      <c r="E68" s="6" t="e">
        <f aca="false">VLOOKUP($D68,$D$79:$F$148,2,0)</f>
        <v>#N/A</v>
      </c>
      <c r="F68" s="33" t="e">
        <f aca="false">VLOOKUP($D68,$D$79:$F$148,3,0)</f>
        <v>#N/A</v>
      </c>
      <c r="G68" s="34"/>
      <c r="J68" s="6" t="n">
        <v>65</v>
      </c>
      <c r="K68" s="6" t="s">
        <v>76</v>
      </c>
      <c r="L68" s="13"/>
      <c r="M68" s="13"/>
      <c r="N68" s="14" t="str">
        <f aca="false">IF(OR(M68="",L68=""),"",IF(L68&gt;M68,"I",IF(L68=M68,"X","II")))</f>
        <v/>
      </c>
    </row>
    <row r="69" customFormat="false" ht="14.25" hidden="false" customHeight="true" outlineLevel="0" collapsed="false">
      <c r="A69" s="1" t="n">
        <f aca="false">A68+1</f>
        <v>66</v>
      </c>
      <c r="C69" s="32" t="e">
        <f aca="false">IF(F69=F68,"-",COUNTA($D$4:D69))</f>
        <v>#N/A</v>
      </c>
      <c r="D69" s="6" t="e">
        <f aca="false">VLOOKUP(A69,$J$79:$K$148,2,0)</f>
        <v>#N/A</v>
      </c>
      <c r="E69" s="6" t="e">
        <f aca="false">VLOOKUP($D69,$D$79:$F$148,2,0)</f>
        <v>#N/A</v>
      </c>
      <c r="F69" s="33" t="e">
        <f aca="false">VLOOKUP($D69,$D$79:$F$148,3,0)</f>
        <v>#N/A</v>
      </c>
      <c r="G69" s="34"/>
      <c r="J69" s="6" t="n">
        <v>66</v>
      </c>
      <c r="K69" s="6" t="s">
        <v>77</v>
      </c>
      <c r="L69" s="13"/>
      <c r="M69" s="13"/>
      <c r="N69" s="14" t="str">
        <f aca="false">IF(OR(M69="",L69=""),"",IF(L69&gt;M69,"I",IF(L69=M69,"X","II")))</f>
        <v/>
      </c>
    </row>
    <row r="70" customFormat="false" ht="14.25" hidden="false" customHeight="true" outlineLevel="0" collapsed="false">
      <c r="A70" s="1" t="n">
        <f aca="false">A69+1</f>
        <v>67</v>
      </c>
      <c r="C70" s="32" t="e">
        <f aca="false">IF(F70=F69,"-",COUNTA($D$4:D70))</f>
        <v>#N/A</v>
      </c>
      <c r="D70" s="6" t="e">
        <f aca="false">VLOOKUP(A70,$J$79:$K$148,2,0)</f>
        <v>#N/A</v>
      </c>
      <c r="E70" s="6" t="e">
        <f aca="false">VLOOKUP($D70,$D$79:$F$148,2,0)</f>
        <v>#N/A</v>
      </c>
      <c r="F70" s="33" t="e">
        <f aca="false">VLOOKUP($D70,$D$79:$F$148,3,0)</f>
        <v>#N/A</v>
      </c>
      <c r="G70" s="34"/>
      <c r="J70" s="6" t="n">
        <v>67</v>
      </c>
      <c r="K70" s="6" t="s">
        <v>78</v>
      </c>
      <c r="L70" s="13"/>
      <c r="M70" s="13"/>
      <c r="N70" s="14" t="str">
        <f aca="false">IF(OR(M70="",L70=""),"",IF(L70&gt;M70,"I",IF(L70=M70,"X","II")))</f>
        <v/>
      </c>
    </row>
    <row r="71" customFormat="false" ht="14.25" hidden="false" customHeight="true" outlineLevel="0" collapsed="false">
      <c r="A71" s="1" t="n">
        <f aca="false">A70+1</f>
        <v>68</v>
      </c>
      <c r="C71" s="32" t="e">
        <f aca="false">IF(F71=F70,"-",COUNTA($D$4:D71))</f>
        <v>#N/A</v>
      </c>
      <c r="D71" s="6" t="e">
        <f aca="false">VLOOKUP(A71,$J$79:$K$148,2,0)</f>
        <v>#N/A</v>
      </c>
      <c r="E71" s="6" t="e">
        <f aca="false">VLOOKUP($D71,$D$79:$F$148,2,0)</f>
        <v>#N/A</v>
      </c>
      <c r="F71" s="33" t="e">
        <f aca="false">VLOOKUP($D71,$D$79:$F$148,3,0)</f>
        <v>#N/A</v>
      </c>
      <c r="G71" s="34"/>
      <c r="J71" s="6" t="n">
        <v>68</v>
      </c>
      <c r="K71" s="6" t="s">
        <v>79</v>
      </c>
      <c r="L71" s="13"/>
      <c r="M71" s="13"/>
      <c r="N71" s="14" t="str">
        <f aca="false">IF(OR(M71="",L71=""),"",IF(L71&gt;M71,"I",IF(L71=M71,"X","II")))</f>
        <v/>
      </c>
    </row>
    <row r="72" customFormat="false" ht="14.25" hidden="false" customHeight="true" outlineLevel="0" collapsed="false">
      <c r="A72" s="1" t="n">
        <f aca="false">A71+1</f>
        <v>69</v>
      </c>
      <c r="C72" s="32" t="e">
        <f aca="false">IF(F72=F71,"-",COUNTA($D$4:D72))</f>
        <v>#N/A</v>
      </c>
      <c r="D72" s="6" t="e">
        <f aca="false">VLOOKUP(A72,$J$79:$K$148,2,0)</f>
        <v>#N/A</v>
      </c>
      <c r="E72" s="6" t="e">
        <f aca="false">VLOOKUP($D72,$D$79:$F$148,2,0)</f>
        <v>#N/A</v>
      </c>
      <c r="F72" s="33" t="e">
        <f aca="false">VLOOKUP($D72,$D$79:$F$148,3,0)</f>
        <v>#N/A</v>
      </c>
      <c r="G72" s="34"/>
      <c r="J72" s="6" t="n">
        <v>69</v>
      </c>
      <c r="K72" s="6" t="s">
        <v>80</v>
      </c>
      <c r="L72" s="13"/>
      <c r="M72" s="13"/>
      <c r="N72" s="14" t="str">
        <f aca="false">IF(OR(M72="",L72=""),"",IF(L72&gt;M72,"I",IF(L72=M72,"X","II")))</f>
        <v/>
      </c>
    </row>
    <row r="73" customFormat="false" ht="15" hidden="false" customHeight="true" outlineLevel="0" collapsed="false">
      <c r="A73" s="1" t="n">
        <f aca="false">A72+1</f>
        <v>70</v>
      </c>
      <c r="C73" s="36" t="e">
        <f aca="false">IF(F73=F72,"-",COUNTA($D$4:D73))</f>
        <v>#N/A</v>
      </c>
      <c r="D73" s="37" t="e">
        <f aca="false">VLOOKUP(A73,$J$79:$K$148,2,0)</f>
        <v>#N/A</v>
      </c>
      <c r="E73" s="37" t="e">
        <f aca="false">VLOOKUP($D73,$D$79:$F$148,2,0)</f>
        <v>#N/A</v>
      </c>
      <c r="F73" s="38" t="e">
        <f aca="false">VLOOKUP($D73,$D$79:$F$148,3,0)</f>
        <v>#N/A</v>
      </c>
      <c r="G73" s="39" t="n">
        <v>100</v>
      </c>
      <c r="J73" s="6" t="n">
        <v>70</v>
      </c>
      <c r="K73" s="6" t="s">
        <v>81</v>
      </c>
      <c r="L73" s="13"/>
      <c r="M73" s="13"/>
      <c r="N73" s="14" t="str">
        <f aca="false">IF(OR(M73="",L73=""),"",IF(L73&gt;M73,"I",IF(L73=M73,"X","II")))</f>
        <v/>
      </c>
    </row>
    <row r="74" customFormat="false" ht="14.25" hidden="false" customHeight="true" outlineLevel="0" collapsed="false">
      <c r="J74" s="6" t="n">
        <v>71</v>
      </c>
      <c r="K74" s="6" t="s">
        <v>82</v>
      </c>
      <c r="L74" s="13"/>
      <c r="M74" s="13"/>
      <c r="N74" s="14" t="str">
        <f aca="false">IF(OR(M74="",L74=""),"",IF(L74&gt;M74,"I",IF(L74=M74,"X","II")))</f>
        <v/>
      </c>
    </row>
    <row r="75" customFormat="false" ht="14.25" hidden="false" customHeight="true" outlineLevel="0" collapsed="false">
      <c r="J75" s="6" t="n">
        <v>72</v>
      </c>
      <c r="K75" s="6" t="s">
        <v>83</v>
      </c>
      <c r="L75" s="13"/>
      <c r="M75" s="13"/>
      <c r="N75" s="14" t="str">
        <f aca="false">IF(OR(M75="",L75=""),"",IF(L75&gt;M75,"I",IF(L75=M75,"X","II")))</f>
        <v/>
      </c>
    </row>
    <row r="78" customFormat="false" ht="14.25" hidden="false" customHeight="true" outlineLevel="0" collapsed="false">
      <c r="C78" s="40" t="s">
        <v>84</v>
      </c>
      <c r="D78" s="40" t="s">
        <v>0</v>
      </c>
      <c r="E78" s="40" t="s">
        <v>85</v>
      </c>
      <c r="F78" s="40" t="s">
        <v>2</v>
      </c>
      <c r="G78" s="40" t="s">
        <v>86</v>
      </c>
      <c r="J78" s="40" t="s">
        <v>87</v>
      </c>
    </row>
    <row r="79" customFormat="false" ht="14.25" hidden="false" customHeight="true" outlineLevel="0" collapsed="false">
      <c r="C79" s="6" t="s">
        <v>88</v>
      </c>
      <c r="D79" s="6" t="s">
        <v>89</v>
      </c>
      <c r="E79" s="6" t="e">
        <f aca="false">Calc!C238</f>
        <v>#N/A</v>
      </c>
      <c r="F79" s="33" t="e">
        <f aca="false">Calc!F238</f>
        <v>#N/A</v>
      </c>
      <c r="G79" s="41" t="e">
        <f aca="false">_xlfn.RANK.EQ(F79,$F$79:$F$148)</f>
        <v>#N/A</v>
      </c>
      <c r="H79" s="1" t="e">
        <f aca="false">COUNTIF($G$79:$G$148,G79)</f>
        <v>#N/A</v>
      </c>
      <c r="I79" s="1" t="e">
        <f aca="false">COUNTIF($G$79:G79,G79)</f>
        <v>#N/A</v>
      </c>
      <c r="J79" s="1" t="e">
        <f aca="false">G79+I79-1</f>
        <v>#N/A</v>
      </c>
      <c r="K79" s="1" t="str">
        <f aca="false">D79</f>
        <v>MikiZiso3</v>
      </c>
    </row>
    <row r="80" customFormat="false" ht="14.25" hidden="false" customHeight="true" outlineLevel="0" collapsed="false">
      <c r="C80" s="6" t="s">
        <v>90</v>
      </c>
      <c r="D80" s="6" t="s">
        <v>91</v>
      </c>
      <c r="E80" s="6" t="e">
        <f aca="false">Calc!C239</f>
        <v>#N/A</v>
      </c>
      <c r="F80" s="33" t="e">
        <f aca="false">Calc!F239</f>
        <v>#N/A</v>
      </c>
      <c r="G80" s="41" t="e">
        <f aca="false">_xlfn.RANK.EQ(F80,$F$79:$F$148)</f>
        <v>#N/A</v>
      </c>
      <c r="H80" s="1" t="e">
        <f aca="false">COUNTIF($G$79:$G$148,G80)</f>
        <v>#N/A</v>
      </c>
      <c r="I80" s="1" t="e">
        <f aca="false">COUNTIF($G$79:G80,G80)</f>
        <v>#N/A</v>
      </c>
      <c r="J80" s="1" t="e">
        <f aca="false">G80+I80-1</f>
        <v>#N/A</v>
      </c>
      <c r="K80" s="1" t="str">
        <f aca="false">D80</f>
        <v>MikiZiso2</v>
      </c>
    </row>
    <row r="81" customFormat="false" ht="14.25" hidden="false" customHeight="true" outlineLevel="0" collapsed="false">
      <c r="C81" s="6" t="s">
        <v>92</v>
      </c>
      <c r="D81" s="6" t="s">
        <v>93</v>
      </c>
      <c r="E81" s="6" t="e">
        <f aca="false">Calc!C240</f>
        <v>#N/A</v>
      </c>
      <c r="F81" s="33" t="e">
        <f aca="false">Calc!F240</f>
        <v>#N/A</v>
      </c>
      <c r="G81" s="41" t="e">
        <f aca="false">_xlfn.RANK.EQ(F81,$F$79:$F$148)</f>
        <v>#N/A</v>
      </c>
      <c r="H81" s="1" t="e">
        <f aca="false">COUNTIF($G$79:$G$148,G81)</f>
        <v>#N/A</v>
      </c>
      <c r="I81" s="1" t="e">
        <f aca="false">COUNTIF($G$79:G81,G81)</f>
        <v>#N/A</v>
      </c>
      <c r="J81" s="1" t="e">
        <f aca="false">G81+I81-1</f>
        <v>#N/A</v>
      </c>
      <c r="K81" s="1" t="str">
        <f aca="false">D81</f>
        <v>Miki_Ziso</v>
      </c>
    </row>
    <row r="82" customFormat="false" ht="14.25" hidden="false" customHeight="true" outlineLevel="0" collapsed="false">
      <c r="C82" s="6" t="s">
        <v>94</v>
      </c>
      <c r="D82" s="6" t="s">
        <v>95</v>
      </c>
      <c r="E82" s="6" t="e">
        <f aca="false">Calc!C241</f>
        <v>#N/A</v>
      </c>
      <c r="F82" s="33" t="e">
        <f aca="false">Calc!F241</f>
        <v>#N/A</v>
      </c>
      <c r="G82" s="41" t="e">
        <f aca="false">_xlfn.RANK.EQ(F82,$F$79:$F$148)</f>
        <v>#N/A</v>
      </c>
      <c r="H82" s="1" t="e">
        <f aca="false">COUNTIF($G$79:$G$148,G82)</f>
        <v>#N/A</v>
      </c>
      <c r="I82" s="1" t="e">
        <f aca="false">COUNTIF($G$79:G82,G82)</f>
        <v>#N/A</v>
      </c>
      <c r="J82" s="1" t="e">
        <f aca="false">G82+I82-1</f>
        <v>#N/A</v>
      </c>
      <c r="K82" s="1" t="str">
        <f aca="false">D82</f>
        <v>Nir1</v>
      </c>
    </row>
    <row r="83" customFormat="false" ht="14.25" hidden="false" customHeight="true" outlineLevel="0" collapsed="false">
      <c r="C83" s="6" t="s">
        <v>96</v>
      </c>
      <c r="D83" s="6" t="s">
        <v>97</v>
      </c>
      <c r="E83" s="6" t="e">
        <f aca="false">Calc!C242</f>
        <v>#N/A</v>
      </c>
      <c r="F83" s="33" t="e">
        <f aca="false">Calc!F242</f>
        <v>#N/A</v>
      </c>
      <c r="G83" s="41" t="e">
        <f aca="false">_xlfn.RANK.EQ(F83,$F$79:$F$148)</f>
        <v>#N/A</v>
      </c>
      <c r="H83" s="1" t="e">
        <f aca="false">COUNTIF($G$79:$G$148,G83)</f>
        <v>#N/A</v>
      </c>
      <c r="I83" s="1" t="e">
        <f aca="false">COUNTIF($G$79:G83,G83)</f>
        <v>#N/A</v>
      </c>
      <c r="J83" s="1" t="e">
        <f aca="false">G83+I83-1</f>
        <v>#N/A</v>
      </c>
      <c r="K83" s="1" t="str">
        <f aca="false">D83</f>
        <v>Nir2</v>
      </c>
    </row>
    <row r="84" customFormat="false" ht="14.25" hidden="false" customHeight="true" outlineLevel="0" collapsed="false">
      <c r="C84" s="6" t="s">
        <v>98</v>
      </c>
      <c r="D84" s="6" t="s">
        <v>99</v>
      </c>
      <c r="E84" s="6" t="e">
        <f aca="false">Calc!C243</f>
        <v>#N/A</v>
      </c>
      <c r="F84" s="33" t="e">
        <f aca="false">Calc!F243</f>
        <v>#N/A</v>
      </c>
      <c r="G84" s="41" t="e">
        <f aca="false">_xlfn.RANK.EQ(F84,$F$79:$F$148)</f>
        <v>#N/A</v>
      </c>
      <c r="H84" s="1" t="e">
        <f aca="false">COUNTIF($G$79:$G$148,G84)</f>
        <v>#N/A</v>
      </c>
      <c r="I84" s="1" t="e">
        <f aca="false">COUNTIF($G$79:G84,G84)</f>
        <v>#N/A</v>
      </c>
      <c r="J84" s="1" t="e">
        <f aca="false">G84+I84-1</f>
        <v>#N/A</v>
      </c>
      <c r="K84" s="1" t="str">
        <f aca="false">D84</f>
        <v>Nir3</v>
      </c>
    </row>
    <row r="85" customFormat="false" ht="14.25" hidden="false" customHeight="true" outlineLevel="0" collapsed="false">
      <c r="C85" s="6" t="s">
        <v>100</v>
      </c>
      <c r="D85" s="6" t="s">
        <v>101</v>
      </c>
      <c r="E85" s="6" t="str">
        <f aca="false">Calc!C244</f>
        <v/>
      </c>
      <c r="F85" s="33" t="n">
        <f aca="false">Calc!F244</f>
        <v>0</v>
      </c>
      <c r="G85" s="41" t="e">
        <f aca="false">_xlfn.RANK.EQ(F85,$F$79:$F$148)</f>
        <v>#N/A</v>
      </c>
      <c r="H85" s="1" t="e">
        <f aca="false">COUNTIF($G$79:$G$148,G85)</f>
        <v>#N/A</v>
      </c>
      <c r="I85" s="1" t="e">
        <f aca="false">COUNTIF($G$79:G85,G85)</f>
        <v>#N/A</v>
      </c>
      <c r="J85" s="1" t="e">
        <f aca="false">G85+I85-1</f>
        <v>#N/A</v>
      </c>
      <c r="K85" s="1" t="str">
        <f aca="false">D85</f>
        <v>test1</v>
      </c>
    </row>
    <row r="86" customFormat="false" ht="14.25" hidden="false" customHeight="true" outlineLevel="0" collapsed="false">
      <c r="C86" s="6" t="s">
        <v>102</v>
      </c>
      <c r="D86" s="6" t="s">
        <v>103</v>
      </c>
      <c r="E86" s="6" t="str">
        <f aca="false">Calc!C245</f>
        <v/>
      </c>
      <c r="F86" s="33" t="n">
        <f aca="false">Calc!F245</f>
        <v>0</v>
      </c>
      <c r="G86" s="41" t="e">
        <f aca="false">_xlfn.RANK.EQ(F86,$F$79:$F$148)</f>
        <v>#N/A</v>
      </c>
      <c r="H86" s="1" t="e">
        <f aca="false">COUNTIF($G$79:$G$148,G86)</f>
        <v>#N/A</v>
      </c>
      <c r="I86" s="1" t="e">
        <f aca="false">COUNTIF($G$79:G86,G86)</f>
        <v>#N/A</v>
      </c>
      <c r="J86" s="1" t="e">
        <f aca="false">G86+I86-1</f>
        <v>#N/A</v>
      </c>
      <c r="K86" s="1" t="str">
        <f aca="false">D86</f>
        <v>test2</v>
      </c>
    </row>
    <row r="87" customFormat="false" ht="14.25" hidden="false" customHeight="true" outlineLevel="0" collapsed="false">
      <c r="C87" s="6" t="s">
        <v>104</v>
      </c>
      <c r="D87" s="6" t="s">
        <v>105</v>
      </c>
      <c r="E87" s="6" t="str">
        <f aca="false">Calc!C246</f>
        <v/>
      </c>
      <c r="F87" s="33" t="n">
        <f aca="false">Calc!F246</f>
        <v>0</v>
      </c>
      <c r="G87" s="41" t="e">
        <f aca="false">_xlfn.RANK.EQ(F87,$F$79:$F$148)</f>
        <v>#N/A</v>
      </c>
      <c r="H87" s="1" t="e">
        <f aca="false">COUNTIF($G$79:$G$148,G87)</f>
        <v>#N/A</v>
      </c>
      <c r="I87" s="1" t="e">
        <f aca="false">COUNTIF($G$79:G87,G87)</f>
        <v>#N/A</v>
      </c>
      <c r="J87" s="1" t="e">
        <f aca="false">G87+I87-1</f>
        <v>#N/A</v>
      </c>
      <c r="K87" s="1" t="str">
        <f aca="false">D87</f>
        <v>test3</v>
      </c>
    </row>
    <row r="88" customFormat="false" ht="14.25" hidden="false" customHeight="true" outlineLevel="0" collapsed="false">
      <c r="C88" s="6" t="s">
        <v>106</v>
      </c>
      <c r="D88" s="6" t="s">
        <v>107</v>
      </c>
      <c r="E88" s="6" t="str">
        <f aca="false">Calc!C247</f>
        <v/>
      </c>
      <c r="F88" s="33" t="n">
        <f aca="false">Calc!F247</f>
        <v>0</v>
      </c>
      <c r="G88" s="41" t="e">
        <f aca="false">_xlfn.RANK.EQ(F88,$F$79:$F$148)</f>
        <v>#N/A</v>
      </c>
      <c r="H88" s="1" t="e">
        <f aca="false">COUNTIF($G$79:$G$148,G88)</f>
        <v>#N/A</v>
      </c>
      <c r="I88" s="1" t="e">
        <f aca="false">COUNTIF($G$79:G88,G88)</f>
        <v>#N/A</v>
      </c>
      <c r="J88" s="1" t="e">
        <f aca="false">G88+I88-1</f>
        <v>#N/A</v>
      </c>
      <c r="K88" s="1" t="str">
        <f aca="false">D88</f>
        <v>test4</v>
      </c>
    </row>
    <row r="89" customFormat="false" ht="14.25" hidden="false" customHeight="true" outlineLevel="0" collapsed="false">
      <c r="C89" s="6" t="s">
        <v>108</v>
      </c>
      <c r="D89" s="6" t="s">
        <v>109</v>
      </c>
      <c r="E89" s="6" t="str">
        <f aca="false">Calc!C248</f>
        <v/>
      </c>
      <c r="F89" s="33" t="n">
        <f aca="false">Calc!F248</f>
        <v>0</v>
      </c>
      <c r="G89" s="41" t="e">
        <f aca="false">_xlfn.RANK.EQ(F89,$F$79:$F$148)</f>
        <v>#N/A</v>
      </c>
      <c r="H89" s="1" t="e">
        <f aca="false">COUNTIF($G$79:$G$148,G89)</f>
        <v>#N/A</v>
      </c>
      <c r="I89" s="1" t="e">
        <f aca="false">COUNTIF($G$79:G89,G89)</f>
        <v>#N/A</v>
      </c>
      <c r="J89" s="1" t="e">
        <f aca="false">G89+I89-1</f>
        <v>#N/A</v>
      </c>
      <c r="K89" s="1" t="str">
        <f aca="false">D89</f>
        <v>test5</v>
      </c>
    </row>
    <row r="90" customFormat="false" ht="14.25" hidden="false" customHeight="true" outlineLevel="0" collapsed="false">
      <c r="C90" s="6" t="s">
        <v>110</v>
      </c>
      <c r="D90" s="6" t="s">
        <v>111</v>
      </c>
      <c r="E90" s="6" t="str">
        <f aca="false">Calc!C249</f>
        <v/>
      </c>
      <c r="F90" s="33" t="n">
        <f aca="false">Calc!F249</f>
        <v>0</v>
      </c>
      <c r="G90" s="41" t="e">
        <f aca="false">_xlfn.RANK.EQ(F90,$F$79:$F$148)</f>
        <v>#N/A</v>
      </c>
      <c r="H90" s="1" t="e">
        <f aca="false">COUNTIF($G$79:$G$148,G90)</f>
        <v>#N/A</v>
      </c>
      <c r="I90" s="1" t="e">
        <f aca="false">COUNTIF($G$79:G90,G90)</f>
        <v>#N/A</v>
      </c>
      <c r="J90" s="1" t="e">
        <f aca="false">G90+I90-1</f>
        <v>#N/A</v>
      </c>
      <c r="K90" s="1" t="str">
        <f aca="false">D90</f>
        <v>test6</v>
      </c>
    </row>
    <row r="91" customFormat="false" ht="14.25" hidden="false" customHeight="true" outlineLevel="0" collapsed="false">
      <c r="C91" s="6" t="s">
        <v>112</v>
      </c>
      <c r="D91" s="6" t="s">
        <v>113</v>
      </c>
      <c r="E91" s="6" t="str">
        <f aca="false">Calc!C250</f>
        <v/>
      </c>
      <c r="F91" s="33" t="n">
        <f aca="false">Calc!F250</f>
        <v>0</v>
      </c>
      <c r="G91" s="41" t="e">
        <f aca="false">_xlfn.RANK.EQ(F91,$F$79:$F$148)</f>
        <v>#N/A</v>
      </c>
      <c r="H91" s="1" t="e">
        <f aca="false">COUNTIF($G$79:$G$148,G91)</f>
        <v>#N/A</v>
      </c>
      <c r="I91" s="1" t="e">
        <f aca="false">COUNTIF($G$79:G91,G91)</f>
        <v>#N/A</v>
      </c>
      <c r="J91" s="1" t="e">
        <f aca="false">G91+I91-1</f>
        <v>#N/A</v>
      </c>
      <c r="K91" s="1" t="str">
        <f aca="false">D91</f>
        <v>test7</v>
      </c>
    </row>
    <row r="92" customFormat="false" ht="14.25" hidden="false" customHeight="true" outlineLevel="0" collapsed="false">
      <c r="C92" s="6" t="s">
        <v>114</v>
      </c>
      <c r="D92" s="6" t="s">
        <v>115</v>
      </c>
      <c r="E92" s="6" t="str">
        <f aca="false">Calc!C251</f>
        <v/>
      </c>
      <c r="F92" s="33" t="n">
        <f aca="false">Calc!F251</f>
        <v>0</v>
      </c>
      <c r="G92" s="41" t="e">
        <f aca="false">_xlfn.RANK.EQ(F92,$F$79:$F$148)</f>
        <v>#N/A</v>
      </c>
      <c r="H92" s="1" t="e">
        <f aca="false">COUNTIF($G$79:$G$148,G92)</f>
        <v>#N/A</v>
      </c>
      <c r="I92" s="1" t="e">
        <f aca="false">COUNTIF($G$79:G92,G92)</f>
        <v>#N/A</v>
      </c>
      <c r="J92" s="1" t="e">
        <f aca="false">G92+I92-1</f>
        <v>#N/A</v>
      </c>
      <c r="K92" s="1" t="str">
        <f aca="false">D92</f>
        <v>test8</v>
      </c>
    </row>
    <row r="93" customFormat="false" ht="14.25" hidden="false" customHeight="true" outlineLevel="0" collapsed="false">
      <c r="C93" s="6" t="s">
        <v>116</v>
      </c>
      <c r="D93" s="6" t="s">
        <v>117</v>
      </c>
      <c r="E93" s="6" t="str">
        <f aca="false">Calc!C252</f>
        <v/>
      </c>
      <c r="F93" s="33" t="n">
        <f aca="false">Calc!F252</f>
        <v>0</v>
      </c>
      <c r="G93" s="41" t="e">
        <f aca="false">_xlfn.RANK.EQ(F93,$F$79:$F$148)</f>
        <v>#N/A</v>
      </c>
      <c r="H93" s="1" t="e">
        <f aca="false">COUNTIF($G$79:$G$148,G93)</f>
        <v>#N/A</v>
      </c>
      <c r="I93" s="1" t="e">
        <f aca="false">COUNTIF($G$79:G93,G93)</f>
        <v>#N/A</v>
      </c>
      <c r="J93" s="1" t="e">
        <f aca="false">G93+I93-1</f>
        <v>#N/A</v>
      </c>
      <c r="K93" s="1" t="str">
        <f aca="false">D93</f>
        <v>test9</v>
      </c>
    </row>
    <row r="94" customFormat="false" ht="14.25" hidden="false" customHeight="true" outlineLevel="0" collapsed="false">
      <c r="C94" s="6" t="s">
        <v>118</v>
      </c>
      <c r="D94" s="6" t="s">
        <v>119</v>
      </c>
      <c r="E94" s="6" t="str">
        <f aca="false">Calc!C253</f>
        <v/>
      </c>
      <c r="F94" s="33" t="n">
        <f aca="false">Calc!F253</f>
        <v>0</v>
      </c>
      <c r="G94" s="41" t="e">
        <f aca="false">_xlfn.RANK.EQ(F94,$F$79:$F$148)</f>
        <v>#N/A</v>
      </c>
      <c r="H94" s="1" t="e">
        <f aca="false">COUNTIF($G$79:$G$148,G94)</f>
        <v>#N/A</v>
      </c>
      <c r="I94" s="1" t="e">
        <f aca="false">COUNTIF($G$79:G94,G94)</f>
        <v>#N/A</v>
      </c>
      <c r="J94" s="1" t="e">
        <f aca="false">G94+I94-1</f>
        <v>#N/A</v>
      </c>
      <c r="K94" s="1" t="str">
        <f aca="false">D94</f>
        <v>test10</v>
      </c>
    </row>
    <row r="95" customFormat="false" ht="14.25" hidden="false" customHeight="true" outlineLevel="0" collapsed="false">
      <c r="C95" s="6" t="s">
        <v>120</v>
      </c>
      <c r="D95" s="6" t="s">
        <v>121</v>
      </c>
      <c r="E95" s="6" t="str">
        <f aca="false">Calc!C254</f>
        <v/>
      </c>
      <c r="F95" s="33" t="n">
        <f aca="false">Calc!F254</f>
        <v>0</v>
      </c>
      <c r="G95" s="41" t="e">
        <f aca="false">_xlfn.RANK.EQ(F95,$F$79:$F$148)</f>
        <v>#N/A</v>
      </c>
      <c r="H95" s="1" t="e">
        <f aca="false">COUNTIF($G$79:$G$148,G95)</f>
        <v>#N/A</v>
      </c>
      <c r="I95" s="1" t="e">
        <f aca="false">COUNTIF($G$79:G95,G95)</f>
        <v>#N/A</v>
      </c>
      <c r="J95" s="1" t="e">
        <f aca="false">G95+I95-1</f>
        <v>#N/A</v>
      </c>
      <c r="K95" s="1" t="str">
        <f aca="false">D95</f>
        <v>test11</v>
      </c>
    </row>
    <row r="96" customFormat="false" ht="14.25" hidden="false" customHeight="true" outlineLevel="0" collapsed="false">
      <c r="C96" s="6" t="s">
        <v>122</v>
      </c>
      <c r="D96" s="6" t="s">
        <v>123</v>
      </c>
      <c r="E96" s="6" t="str">
        <f aca="false">Calc!C255</f>
        <v/>
      </c>
      <c r="F96" s="33" t="n">
        <f aca="false">Calc!F255</f>
        <v>0</v>
      </c>
      <c r="G96" s="41" t="e">
        <f aca="false">_xlfn.RANK.EQ(F96,$F$79:$F$148)</f>
        <v>#N/A</v>
      </c>
      <c r="H96" s="1" t="e">
        <f aca="false">COUNTIF($G$79:$G$148,G96)</f>
        <v>#N/A</v>
      </c>
      <c r="I96" s="1" t="e">
        <f aca="false">COUNTIF($G$79:G96,G96)</f>
        <v>#N/A</v>
      </c>
      <c r="J96" s="1" t="e">
        <f aca="false">G96+I96-1</f>
        <v>#N/A</v>
      </c>
      <c r="K96" s="1" t="str">
        <f aca="false">D96</f>
        <v>test12</v>
      </c>
    </row>
    <row r="97" customFormat="false" ht="14.25" hidden="false" customHeight="true" outlineLevel="0" collapsed="false">
      <c r="C97" s="6" t="s">
        <v>124</v>
      </c>
      <c r="D97" s="6" t="s">
        <v>125</v>
      </c>
      <c r="E97" s="6" t="str">
        <f aca="false">Calc!C256</f>
        <v/>
      </c>
      <c r="F97" s="33" t="n">
        <f aca="false">Calc!F256</f>
        <v>0</v>
      </c>
      <c r="G97" s="41" t="e">
        <f aca="false">_xlfn.RANK.EQ(F97,$F$79:$F$148)</f>
        <v>#N/A</v>
      </c>
      <c r="H97" s="1" t="e">
        <f aca="false">COUNTIF($G$79:$G$148,G97)</f>
        <v>#N/A</v>
      </c>
      <c r="I97" s="1" t="e">
        <f aca="false">COUNTIF($G$79:G97,G97)</f>
        <v>#N/A</v>
      </c>
      <c r="J97" s="1" t="e">
        <f aca="false">G97+I97-1</f>
        <v>#N/A</v>
      </c>
      <c r="K97" s="1" t="str">
        <f aca="false">D97</f>
        <v>test13</v>
      </c>
    </row>
    <row r="98" customFormat="false" ht="14.25" hidden="false" customHeight="true" outlineLevel="0" collapsed="false">
      <c r="C98" s="6" t="s">
        <v>126</v>
      </c>
      <c r="D98" s="6" t="s">
        <v>127</v>
      </c>
      <c r="E98" s="6" t="str">
        <f aca="false">Calc!C257</f>
        <v/>
      </c>
      <c r="F98" s="33" t="n">
        <f aca="false">Calc!F257</f>
        <v>0</v>
      </c>
      <c r="G98" s="41" t="e">
        <f aca="false">_xlfn.RANK.EQ(F98,$F$79:$F$148)</f>
        <v>#N/A</v>
      </c>
      <c r="H98" s="1" t="e">
        <f aca="false">COUNTIF($G$79:$G$148,G98)</f>
        <v>#N/A</v>
      </c>
      <c r="I98" s="1" t="e">
        <f aca="false">COUNTIF($G$79:G98,G98)</f>
        <v>#N/A</v>
      </c>
      <c r="J98" s="1" t="e">
        <f aca="false">G98+I98-1</f>
        <v>#N/A</v>
      </c>
      <c r="K98" s="1" t="str">
        <f aca="false">D98</f>
        <v>test14</v>
      </c>
    </row>
    <row r="99" customFormat="false" ht="14.25" hidden="false" customHeight="true" outlineLevel="0" collapsed="false">
      <c r="C99" s="6" t="s">
        <v>128</v>
      </c>
      <c r="D99" s="6" t="s">
        <v>129</v>
      </c>
      <c r="E99" s="6" t="str">
        <f aca="false">Calc!C258</f>
        <v/>
      </c>
      <c r="F99" s="33" t="n">
        <f aca="false">Calc!F258</f>
        <v>0</v>
      </c>
      <c r="G99" s="41" t="e">
        <f aca="false">_xlfn.RANK.EQ(F99,$F$79:$F$148)</f>
        <v>#N/A</v>
      </c>
      <c r="H99" s="1" t="e">
        <f aca="false">COUNTIF($G$79:$G$148,G99)</f>
        <v>#N/A</v>
      </c>
      <c r="I99" s="1" t="e">
        <f aca="false">COUNTIF($G$79:G99,G99)</f>
        <v>#N/A</v>
      </c>
      <c r="J99" s="1" t="e">
        <f aca="false">G99+I99-1</f>
        <v>#N/A</v>
      </c>
      <c r="K99" s="1" t="str">
        <f aca="false">D99</f>
        <v>test15</v>
      </c>
    </row>
    <row r="100" customFormat="false" ht="14.25" hidden="false" customHeight="true" outlineLevel="0" collapsed="false">
      <c r="C100" s="6" t="s">
        <v>130</v>
      </c>
      <c r="D100" s="6" t="s">
        <v>131</v>
      </c>
      <c r="E100" s="6" t="str">
        <f aca="false">Calc!C259</f>
        <v/>
      </c>
      <c r="F100" s="33" t="n">
        <f aca="false">Calc!F259</f>
        <v>0</v>
      </c>
      <c r="G100" s="41" t="e">
        <f aca="false">_xlfn.RANK.EQ(F100,$F$79:$F$148)</f>
        <v>#N/A</v>
      </c>
      <c r="H100" s="1" t="e">
        <f aca="false">COUNTIF($G$79:$G$148,G100)</f>
        <v>#N/A</v>
      </c>
      <c r="I100" s="1" t="e">
        <f aca="false">COUNTIF($G$79:G100,G100)</f>
        <v>#N/A</v>
      </c>
      <c r="J100" s="1" t="e">
        <f aca="false">G100+I100-1</f>
        <v>#N/A</v>
      </c>
      <c r="K100" s="1" t="str">
        <f aca="false">D100</f>
        <v>test16</v>
      </c>
    </row>
    <row r="101" customFormat="false" ht="14.25" hidden="false" customHeight="true" outlineLevel="0" collapsed="false">
      <c r="C101" s="6" t="s">
        <v>132</v>
      </c>
      <c r="D101" s="6" t="s">
        <v>133</v>
      </c>
      <c r="E101" s="6" t="str">
        <f aca="false">Calc!C260</f>
        <v/>
      </c>
      <c r="F101" s="33" t="n">
        <f aca="false">Calc!F260</f>
        <v>0</v>
      </c>
      <c r="G101" s="41" t="e">
        <f aca="false">_xlfn.RANK.EQ(F101,$F$79:$F$148)</f>
        <v>#N/A</v>
      </c>
      <c r="H101" s="1" t="e">
        <f aca="false">COUNTIF($G$79:$G$148,G101)</f>
        <v>#N/A</v>
      </c>
      <c r="I101" s="1" t="e">
        <f aca="false">COUNTIF($G$79:G101,G101)</f>
        <v>#N/A</v>
      </c>
      <c r="J101" s="1" t="e">
        <f aca="false">G101+I101-1</f>
        <v>#N/A</v>
      </c>
      <c r="K101" s="1" t="str">
        <f aca="false">D101</f>
        <v>test17</v>
      </c>
    </row>
    <row r="102" customFormat="false" ht="14.25" hidden="false" customHeight="true" outlineLevel="0" collapsed="false">
      <c r="C102" s="6" t="s">
        <v>134</v>
      </c>
      <c r="D102" s="6" t="s">
        <v>135</v>
      </c>
      <c r="E102" s="6" t="str">
        <f aca="false">Calc!C261</f>
        <v/>
      </c>
      <c r="F102" s="33" t="n">
        <f aca="false">Calc!F261</f>
        <v>0</v>
      </c>
      <c r="G102" s="41" t="e">
        <f aca="false">_xlfn.RANK.EQ(F102,$F$79:$F$148)</f>
        <v>#N/A</v>
      </c>
      <c r="H102" s="1" t="e">
        <f aca="false">COUNTIF($G$79:$G$148,G102)</f>
        <v>#N/A</v>
      </c>
      <c r="I102" s="1" t="e">
        <f aca="false">COUNTIF($G$79:G102,G102)</f>
        <v>#N/A</v>
      </c>
      <c r="J102" s="1" t="e">
        <f aca="false">G102+I102-1</f>
        <v>#N/A</v>
      </c>
      <c r="K102" s="1" t="str">
        <f aca="false">D102</f>
        <v>test18</v>
      </c>
    </row>
    <row r="103" customFormat="false" ht="14.25" hidden="false" customHeight="true" outlineLevel="0" collapsed="false">
      <c r="C103" s="6" t="s">
        <v>136</v>
      </c>
      <c r="D103" s="6" t="s">
        <v>137</v>
      </c>
      <c r="E103" s="6" t="str">
        <f aca="false">Calc!C262</f>
        <v/>
      </c>
      <c r="F103" s="33" t="n">
        <f aca="false">Calc!F262</f>
        <v>0</v>
      </c>
      <c r="G103" s="41" t="e">
        <f aca="false">_xlfn.RANK.EQ(F103,$F$79:$F$148)</f>
        <v>#N/A</v>
      </c>
      <c r="H103" s="1" t="e">
        <f aca="false">COUNTIF($G$79:$G$148,G103)</f>
        <v>#N/A</v>
      </c>
      <c r="I103" s="1" t="e">
        <f aca="false">COUNTIF($G$79:G103,G103)</f>
        <v>#N/A</v>
      </c>
      <c r="J103" s="1" t="e">
        <f aca="false">G103+I103-1</f>
        <v>#N/A</v>
      </c>
      <c r="K103" s="1" t="str">
        <f aca="false">D103</f>
        <v>test19</v>
      </c>
    </row>
    <row r="104" customFormat="false" ht="14.25" hidden="false" customHeight="true" outlineLevel="0" collapsed="false">
      <c r="C104" s="6" t="s">
        <v>138</v>
      </c>
      <c r="D104" s="6" t="s">
        <v>139</v>
      </c>
      <c r="E104" s="6" t="str">
        <f aca="false">Calc!C263</f>
        <v/>
      </c>
      <c r="F104" s="33" t="n">
        <f aca="false">Calc!F263</f>
        <v>0</v>
      </c>
      <c r="G104" s="41" t="e">
        <f aca="false">_xlfn.RANK.EQ(F104,$F$79:$F$148)</f>
        <v>#N/A</v>
      </c>
      <c r="H104" s="1" t="e">
        <f aca="false">COUNTIF($G$79:$G$148,G104)</f>
        <v>#N/A</v>
      </c>
      <c r="I104" s="1" t="e">
        <f aca="false">COUNTIF($G$79:G104,G104)</f>
        <v>#N/A</v>
      </c>
      <c r="J104" s="1" t="e">
        <f aca="false">G104+I104-1</f>
        <v>#N/A</v>
      </c>
      <c r="K104" s="1" t="str">
        <f aca="false">D104</f>
        <v>test20</v>
      </c>
    </row>
    <row r="105" customFormat="false" ht="14.25" hidden="false" customHeight="true" outlineLevel="0" collapsed="false">
      <c r="C105" s="6" t="s">
        <v>140</v>
      </c>
      <c r="D105" s="6" t="s">
        <v>141</v>
      </c>
      <c r="E105" s="6" t="str">
        <f aca="false">Calc!C264</f>
        <v/>
      </c>
      <c r="F105" s="33" t="n">
        <f aca="false">Calc!F264</f>
        <v>0</v>
      </c>
      <c r="G105" s="41" t="e">
        <f aca="false">_xlfn.RANK.EQ(F105,$F$79:$F$148)</f>
        <v>#N/A</v>
      </c>
      <c r="H105" s="1" t="e">
        <f aca="false">COUNTIF($G$79:$G$148,G105)</f>
        <v>#N/A</v>
      </c>
      <c r="I105" s="1" t="e">
        <f aca="false">COUNTIF($G$79:G105,G105)</f>
        <v>#N/A</v>
      </c>
      <c r="J105" s="1" t="e">
        <f aca="false">G105+I105-1</f>
        <v>#N/A</v>
      </c>
      <c r="K105" s="1" t="str">
        <f aca="false">D105</f>
        <v>test21</v>
      </c>
    </row>
    <row r="106" customFormat="false" ht="14.25" hidden="false" customHeight="true" outlineLevel="0" collapsed="false">
      <c r="C106" s="6" t="s">
        <v>142</v>
      </c>
      <c r="D106" s="6" t="s">
        <v>143</v>
      </c>
      <c r="E106" s="6" t="str">
        <f aca="false">Calc!C265</f>
        <v/>
      </c>
      <c r="F106" s="33" t="n">
        <f aca="false">Calc!F265</f>
        <v>0</v>
      </c>
      <c r="G106" s="41" t="e">
        <f aca="false">_xlfn.RANK.EQ(F106,$F$79:$F$148)</f>
        <v>#N/A</v>
      </c>
      <c r="H106" s="1" t="e">
        <f aca="false">COUNTIF($G$79:$G$148,G106)</f>
        <v>#N/A</v>
      </c>
      <c r="I106" s="1" t="e">
        <f aca="false">COUNTIF($G$79:G106,G106)</f>
        <v>#N/A</v>
      </c>
      <c r="J106" s="1" t="e">
        <f aca="false">G106+I106-1</f>
        <v>#N/A</v>
      </c>
      <c r="K106" s="1" t="str">
        <f aca="false">D106</f>
        <v>test22</v>
      </c>
    </row>
    <row r="107" customFormat="false" ht="14.25" hidden="false" customHeight="true" outlineLevel="0" collapsed="false">
      <c r="C107" s="6" t="s">
        <v>144</v>
      </c>
      <c r="D107" s="6" t="s">
        <v>145</v>
      </c>
      <c r="E107" s="6" t="str">
        <f aca="false">Calc!C266</f>
        <v/>
      </c>
      <c r="F107" s="33" t="n">
        <f aca="false">Calc!F266</f>
        <v>0</v>
      </c>
      <c r="G107" s="41" t="e">
        <f aca="false">_xlfn.RANK.EQ(F107,$F$79:$F$148)</f>
        <v>#N/A</v>
      </c>
      <c r="H107" s="1" t="e">
        <f aca="false">COUNTIF($G$79:$G$148,G107)</f>
        <v>#N/A</v>
      </c>
      <c r="I107" s="1" t="e">
        <f aca="false">COUNTIF($G$79:G107,G107)</f>
        <v>#N/A</v>
      </c>
      <c r="J107" s="1" t="e">
        <f aca="false">G107+I107-1</f>
        <v>#N/A</v>
      </c>
      <c r="K107" s="1" t="str">
        <f aca="false">D107</f>
        <v>test23</v>
      </c>
    </row>
    <row r="108" customFormat="false" ht="14.25" hidden="false" customHeight="true" outlineLevel="0" collapsed="false">
      <c r="C108" s="6" t="s">
        <v>146</v>
      </c>
      <c r="D108" s="6" t="s">
        <v>147</v>
      </c>
      <c r="E108" s="6" t="str">
        <f aca="false">Calc!C267</f>
        <v/>
      </c>
      <c r="F108" s="33" t="n">
        <f aca="false">Calc!F267</f>
        <v>0</v>
      </c>
      <c r="G108" s="41" t="e">
        <f aca="false">_xlfn.RANK.EQ(F108,$F$79:$F$148)</f>
        <v>#N/A</v>
      </c>
      <c r="H108" s="1" t="e">
        <f aca="false">COUNTIF($G$79:$G$148,G108)</f>
        <v>#N/A</v>
      </c>
      <c r="I108" s="1" t="e">
        <f aca="false">COUNTIF($G$79:G108,G108)</f>
        <v>#N/A</v>
      </c>
      <c r="J108" s="1" t="e">
        <f aca="false">G108+I108-1</f>
        <v>#N/A</v>
      </c>
      <c r="K108" s="1" t="str">
        <f aca="false">D108</f>
        <v>test24</v>
      </c>
    </row>
    <row r="109" customFormat="false" ht="14.25" hidden="false" customHeight="true" outlineLevel="0" collapsed="false">
      <c r="C109" s="6" t="s">
        <v>148</v>
      </c>
      <c r="D109" s="6" t="s">
        <v>149</v>
      </c>
      <c r="E109" s="6" t="str">
        <f aca="false">Calc!C268</f>
        <v/>
      </c>
      <c r="F109" s="33" t="n">
        <f aca="false">Calc!F268</f>
        <v>0</v>
      </c>
      <c r="G109" s="41" t="e">
        <f aca="false">_xlfn.RANK.EQ(F109,$F$79:$F$148)</f>
        <v>#N/A</v>
      </c>
      <c r="H109" s="1" t="e">
        <f aca="false">COUNTIF($G$79:$G$148,G109)</f>
        <v>#N/A</v>
      </c>
      <c r="I109" s="1" t="e">
        <f aca="false">COUNTIF($G$79:G109,G109)</f>
        <v>#N/A</v>
      </c>
      <c r="J109" s="1" t="e">
        <f aca="false">G109+I109-1</f>
        <v>#N/A</v>
      </c>
      <c r="K109" s="1" t="str">
        <f aca="false">D109</f>
        <v>test25</v>
      </c>
    </row>
    <row r="110" customFormat="false" ht="14.25" hidden="false" customHeight="true" outlineLevel="0" collapsed="false">
      <c r="C110" s="6" t="s">
        <v>150</v>
      </c>
      <c r="D110" s="6" t="s">
        <v>151</v>
      </c>
      <c r="E110" s="6" t="str">
        <f aca="false">Calc!C269</f>
        <v/>
      </c>
      <c r="F110" s="33" t="n">
        <f aca="false">Calc!F269</f>
        <v>0</v>
      </c>
      <c r="G110" s="41" t="e">
        <f aca="false">_xlfn.RANK.EQ(F110,$F$79:$F$148)</f>
        <v>#N/A</v>
      </c>
      <c r="H110" s="1" t="e">
        <f aca="false">COUNTIF($G$79:$G$148,G110)</f>
        <v>#N/A</v>
      </c>
      <c r="I110" s="1" t="e">
        <f aca="false">COUNTIF($G$79:G110,G110)</f>
        <v>#N/A</v>
      </c>
      <c r="J110" s="1" t="e">
        <f aca="false">G110+I110-1</f>
        <v>#N/A</v>
      </c>
      <c r="K110" s="1" t="str">
        <f aca="false">D110</f>
        <v>test26</v>
      </c>
    </row>
    <row r="111" customFormat="false" ht="14.25" hidden="false" customHeight="true" outlineLevel="0" collapsed="false">
      <c r="C111" s="6" t="s">
        <v>152</v>
      </c>
      <c r="D111" s="6" t="s">
        <v>153</v>
      </c>
      <c r="E111" s="6" t="str">
        <f aca="false">Calc!C270</f>
        <v/>
      </c>
      <c r="F111" s="33" t="n">
        <f aca="false">Calc!F270</f>
        <v>0</v>
      </c>
      <c r="G111" s="41" t="e">
        <f aca="false">_xlfn.RANK.EQ(F111,$F$79:$F$148)</f>
        <v>#N/A</v>
      </c>
      <c r="H111" s="1" t="e">
        <f aca="false">COUNTIF($G$79:$G$148,G111)</f>
        <v>#N/A</v>
      </c>
      <c r="I111" s="1" t="e">
        <f aca="false">COUNTIF($G$79:G111,G111)</f>
        <v>#N/A</v>
      </c>
      <c r="J111" s="1" t="e">
        <f aca="false">G111+I111-1</f>
        <v>#N/A</v>
      </c>
      <c r="K111" s="1" t="str">
        <f aca="false">D111</f>
        <v>test27</v>
      </c>
    </row>
    <row r="112" customFormat="false" ht="14.25" hidden="false" customHeight="true" outlineLevel="0" collapsed="false">
      <c r="C112" s="6" t="s">
        <v>154</v>
      </c>
      <c r="D112" s="6" t="s">
        <v>155</v>
      </c>
      <c r="E112" s="6" t="e">
        <f aca="false">Calc!C271</f>
        <v>#N/A</v>
      </c>
      <c r="F112" s="33" t="n">
        <f aca="false">Calc!F271</f>
        <v>0</v>
      </c>
      <c r="G112" s="41" t="e">
        <f aca="false">_xlfn.RANK.EQ(F112,$F$79:$F$148)</f>
        <v>#N/A</v>
      </c>
      <c r="H112" s="1" t="e">
        <f aca="false">COUNTIF($G$79:$G$148,G112)</f>
        <v>#N/A</v>
      </c>
      <c r="I112" s="1" t="e">
        <f aca="false">COUNTIF($G$79:G112,G112)</f>
        <v>#N/A</v>
      </c>
      <c r="J112" s="1" t="e">
        <f aca="false">G112+I112-1</f>
        <v>#N/A</v>
      </c>
      <c r="K112" s="1" t="str">
        <f aca="false">D112</f>
        <v>test28</v>
      </c>
    </row>
    <row r="113" customFormat="false" ht="14.25" hidden="false" customHeight="true" outlineLevel="0" collapsed="false">
      <c r="C113" s="6" t="s">
        <v>156</v>
      </c>
      <c r="D113" s="6" t="s">
        <v>157</v>
      </c>
      <c r="E113" s="6" t="e">
        <f aca="false">Calc!C272</f>
        <v>#N/A</v>
      </c>
      <c r="F113" s="33" t="n">
        <f aca="false">Calc!F272</f>
        <v>0</v>
      </c>
      <c r="G113" s="41" t="e">
        <f aca="false">_xlfn.RANK.EQ(F113,$F$79:$F$148)</f>
        <v>#N/A</v>
      </c>
      <c r="H113" s="1" t="e">
        <f aca="false">COUNTIF($G$79:$G$148,G113)</f>
        <v>#N/A</v>
      </c>
      <c r="I113" s="1" t="e">
        <f aca="false">COUNTIF($G$79:G113,G113)</f>
        <v>#N/A</v>
      </c>
      <c r="J113" s="1" t="e">
        <f aca="false">G113+I113-1</f>
        <v>#N/A</v>
      </c>
      <c r="K113" s="1" t="str">
        <f aca="false">D113</f>
        <v>test29</v>
      </c>
    </row>
    <row r="114" customFormat="false" ht="14.25" hidden="false" customHeight="true" outlineLevel="0" collapsed="false">
      <c r="C114" s="6" t="s">
        <v>158</v>
      </c>
      <c r="D114" s="6" t="s">
        <v>159</v>
      </c>
      <c r="E114" s="6" t="e">
        <f aca="false">Calc!C273</f>
        <v>#N/A</v>
      </c>
      <c r="F114" s="33" t="n">
        <f aca="false">Calc!F273</f>
        <v>0</v>
      </c>
      <c r="G114" s="41" t="e">
        <f aca="false">_xlfn.RANK.EQ(F114,$F$79:$F$148)</f>
        <v>#N/A</v>
      </c>
      <c r="H114" s="1" t="e">
        <f aca="false">COUNTIF($G$79:$G$148,G114)</f>
        <v>#N/A</v>
      </c>
      <c r="I114" s="1" t="e">
        <f aca="false">COUNTIF($G$79:G114,G114)</f>
        <v>#N/A</v>
      </c>
      <c r="J114" s="1" t="e">
        <f aca="false">G114+I114-1</f>
        <v>#N/A</v>
      </c>
      <c r="K114" s="1" t="str">
        <f aca="false">D114</f>
        <v>test30</v>
      </c>
    </row>
    <row r="115" customFormat="false" ht="14.25" hidden="false" customHeight="true" outlineLevel="0" collapsed="false">
      <c r="C115" s="6" t="s">
        <v>160</v>
      </c>
      <c r="D115" s="6" t="s">
        <v>161</v>
      </c>
      <c r="E115" s="6" t="e">
        <f aca="false">Calc!C274</f>
        <v>#N/A</v>
      </c>
      <c r="F115" s="33" t="n">
        <f aca="false">Calc!F274</f>
        <v>0</v>
      </c>
      <c r="G115" s="41" t="e">
        <f aca="false">_xlfn.RANK.EQ(F115,$F$79:$F$148)</f>
        <v>#N/A</v>
      </c>
      <c r="H115" s="1" t="e">
        <f aca="false">COUNTIF($G$79:$G$148,G115)</f>
        <v>#N/A</v>
      </c>
      <c r="I115" s="1" t="e">
        <f aca="false">COUNTIF($G$79:G115,G115)</f>
        <v>#N/A</v>
      </c>
      <c r="J115" s="1" t="e">
        <f aca="false">G115+I115-1</f>
        <v>#N/A</v>
      </c>
      <c r="K115" s="1" t="str">
        <f aca="false">D115</f>
        <v>test31</v>
      </c>
    </row>
    <row r="116" customFormat="false" ht="14.25" hidden="false" customHeight="true" outlineLevel="0" collapsed="false">
      <c r="C116" s="6" t="s">
        <v>162</v>
      </c>
      <c r="D116" s="6" t="s">
        <v>163</v>
      </c>
      <c r="E116" s="6" t="e">
        <f aca="false">Calc!C275</f>
        <v>#N/A</v>
      </c>
      <c r="F116" s="33" t="n">
        <f aca="false">Calc!F275</f>
        <v>0</v>
      </c>
      <c r="G116" s="41" t="e">
        <f aca="false">_xlfn.RANK.EQ(F116,$F$79:$F$148)</f>
        <v>#N/A</v>
      </c>
      <c r="H116" s="1" t="e">
        <f aca="false">COUNTIF($G$79:$G$148,G116)</f>
        <v>#N/A</v>
      </c>
      <c r="I116" s="1" t="e">
        <f aca="false">COUNTIF($G$79:G116,G116)</f>
        <v>#N/A</v>
      </c>
      <c r="J116" s="1" t="e">
        <f aca="false">G116+I116-1</f>
        <v>#N/A</v>
      </c>
      <c r="K116" s="1" t="str">
        <f aca="false">D116</f>
        <v>test32</v>
      </c>
    </row>
    <row r="117" customFormat="false" ht="14.25" hidden="false" customHeight="true" outlineLevel="0" collapsed="false">
      <c r="C117" s="6" t="s">
        <v>164</v>
      </c>
      <c r="D117" s="6" t="s">
        <v>165</v>
      </c>
      <c r="E117" s="6" t="e">
        <f aca="false">Calc!C276</f>
        <v>#N/A</v>
      </c>
      <c r="F117" s="33" t="n">
        <f aca="false">Calc!F276</f>
        <v>0</v>
      </c>
      <c r="G117" s="41" t="e">
        <f aca="false">_xlfn.RANK.EQ(F117,$F$79:$F$148)</f>
        <v>#N/A</v>
      </c>
      <c r="H117" s="1" t="e">
        <f aca="false">COUNTIF($G$79:$G$148,G117)</f>
        <v>#N/A</v>
      </c>
      <c r="I117" s="1" t="e">
        <f aca="false">COUNTIF($G$79:G117,G117)</f>
        <v>#N/A</v>
      </c>
      <c r="J117" s="1" t="e">
        <f aca="false">G117+I117-1</f>
        <v>#N/A</v>
      </c>
      <c r="K117" s="1" t="str">
        <f aca="false">D117</f>
        <v>test33</v>
      </c>
    </row>
    <row r="118" customFormat="false" ht="14.25" hidden="false" customHeight="true" outlineLevel="0" collapsed="false">
      <c r="C118" s="6" t="s">
        <v>166</v>
      </c>
      <c r="D118" s="6" t="s">
        <v>167</v>
      </c>
      <c r="E118" s="6" t="str">
        <f aca="false">Calc!C277</f>
        <v/>
      </c>
      <c r="F118" s="33" t="n">
        <f aca="false">Calc!F277</f>
        <v>0</v>
      </c>
      <c r="G118" s="41" t="e">
        <f aca="false">_xlfn.RANK.EQ(F118,$F$79:$F$148)</f>
        <v>#N/A</v>
      </c>
      <c r="H118" s="1" t="e">
        <f aca="false">COUNTIF($G$79:$G$148,G118)</f>
        <v>#N/A</v>
      </c>
      <c r="I118" s="1" t="e">
        <f aca="false">COUNTIF($G$79:G118,G118)</f>
        <v>#N/A</v>
      </c>
      <c r="J118" s="1" t="e">
        <f aca="false">G118+I118-1</f>
        <v>#N/A</v>
      </c>
      <c r="K118" s="1" t="str">
        <f aca="false">D118</f>
        <v>test34</v>
      </c>
    </row>
    <row r="119" customFormat="false" ht="14.25" hidden="false" customHeight="true" outlineLevel="0" collapsed="false">
      <c r="C119" s="6" t="s">
        <v>168</v>
      </c>
      <c r="D119" s="6" t="s">
        <v>169</v>
      </c>
      <c r="E119" s="6" t="str">
        <f aca="false">Calc!C278</f>
        <v/>
      </c>
      <c r="F119" s="33" t="n">
        <f aca="false">Calc!F278</f>
        <v>0</v>
      </c>
      <c r="G119" s="41" t="e">
        <f aca="false">_xlfn.RANK.EQ(F119,$F$79:$F$148)</f>
        <v>#N/A</v>
      </c>
      <c r="H119" s="1" t="e">
        <f aca="false">COUNTIF($G$79:$G$148,G119)</f>
        <v>#N/A</v>
      </c>
      <c r="I119" s="1" t="e">
        <f aca="false">COUNTIF($G$79:G119,G119)</f>
        <v>#N/A</v>
      </c>
      <c r="J119" s="1" t="e">
        <f aca="false">G119+I119-1</f>
        <v>#N/A</v>
      </c>
      <c r="K119" s="1" t="str">
        <f aca="false">D119</f>
        <v>test35</v>
      </c>
    </row>
    <row r="120" customFormat="false" ht="14.25" hidden="false" customHeight="true" outlineLevel="0" collapsed="false">
      <c r="C120" s="6" t="s">
        <v>170</v>
      </c>
      <c r="D120" s="6" t="s">
        <v>171</v>
      </c>
      <c r="E120" s="6" t="str">
        <f aca="false">Calc!C279</f>
        <v/>
      </c>
      <c r="F120" s="33" t="n">
        <f aca="false">Calc!F279</f>
        <v>0</v>
      </c>
      <c r="G120" s="41" t="e">
        <f aca="false">_xlfn.RANK.EQ(F120,$F$79:$F$148)</f>
        <v>#N/A</v>
      </c>
      <c r="H120" s="1" t="e">
        <f aca="false">COUNTIF($G$79:$G$148,G120)</f>
        <v>#N/A</v>
      </c>
      <c r="I120" s="1" t="e">
        <f aca="false">COUNTIF($G$79:G120,G120)</f>
        <v>#N/A</v>
      </c>
      <c r="J120" s="1" t="e">
        <f aca="false">G120+I120-1</f>
        <v>#N/A</v>
      </c>
      <c r="K120" s="1" t="str">
        <f aca="false">D120</f>
        <v>test36</v>
      </c>
    </row>
    <row r="121" customFormat="false" ht="14.25" hidden="false" customHeight="true" outlineLevel="0" collapsed="false">
      <c r="C121" s="6" t="s">
        <v>172</v>
      </c>
      <c r="D121" s="6" t="s">
        <v>173</v>
      </c>
      <c r="E121" s="6" t="str">
        <f aca="false">Calc!C280</f>
        <v/>
      </c>
      <c r="F121" s="33" t="n">
        <f aca="false">Calc!F280</f>
        <v>0</v>
      </c>
      <c r="G121" s="41" t="e">
        <f aca="false">_xlfn.RANK.EQ(F121,$F$79:$F$148)</f>
        <v>#N/A</v>
      </c>
      <c r="H121" s="1" t="e">
        <f aca="false">COUNTIF($G$79:$G$148,G121)</f>
        <v>#N/A</v>
      </c>
      <c r="I121" s="1" t="e">
        <f aca="false">COUNTIF($G$79:G121,G121)</f>
        <v>#N/A</v>
      </c>
      <c r="J121" s="1" t="e">
        <f aca="false">G121+I121-1</f>
        <v>#N/A</v>
      </c>
      <c r="K121" s="1" t="str">
        <f aca="false">D121</f>
        <v>test37</v>
      </c>
    </row>
    <row r="122" customFormat="false" ht="14.25" hidden="false" customHeight="true" outlineLevel="0" collapsed="false">
      <c r="C122" s="6" t="s">
        <v>174</v>
      </c>
      <c r="D122" s="6" t="s">
        <v>175</v>
      </c>
      <c r="E122" s="6" t="str">
        <f aca="false">Calc!C281</f>
        <v/>
      </c>
      <c r="F122" s="33" t="n">
        <f aca="false">Calc!F281</f>
        <v>0</v>
      </c>
      <c r="G122" s="41" t="e">
        <f aca="false">_xlfn.RANK.EQ(F122,$F$79:$F$148)</f>
        <v>#N/A</v>
      </c>
      <c r="H122" s="1" t="e">
        <f aca="false">COUNTIF($G$79:$G$148,G122)</f>
        <v>#N/A</v>
      </c>
      <c r="I122" s="1" t="e">
        <f aca="false">COUNTIF($G$79:G122,G122)</f>
        <v>#N/A</v>
      </c>
      <c r="J122" s="1" t="e">
        <f aca="false">G122+I122-1</f>
        <v>#N/A</v>
      </c>
      <c r="K122" s="1" t="str">
        <f aca="false">D122</f>
        <v>test38</v>
      </c>
    </row>
    <row r="123" customFormat="false" ht="14.25" hidden="false" customHeight="true" outlineLevel="0" collapsed="false">
      <c r="C123" s="6" t="s">
        <v>176</v>
      </c>
      <c r="D123" s="6" t="s">
        <v>177</v>
      </c>
      <c r="E123" s="6" t="str">
        <f aca="false">Calc!C282</f>
        <v/>
      </c>
      <c r="F123" s="33" t="n">
        <f aca="false">Calc!F282</f>
        <v>0</v>
      </c>
      <c r="G123" s="41" t="e">
        <f aca="false">_xlfn.RANK.EQ(F123,$F$79:$F$148)</f>
        <v>#N/A</v>
      </c>
      <c r="H123" s="1" t="e">
        <f aca="false">COUNTIF($G$79:$G$148,G123)</f>
        <v>#N/A</v>
      </c>
      <c r="I123" s="1" t="e">
        <f aca="false">COUNTIF($G$79:G123,G123)</f>
        <v>#N/A</v>
      </c>
      <c r="J123" s="1" t="e">
        <f aca="false">G123+I123-1</f>
        <v>#N/A</v>
      </c>
      <c r="K123" s="1" t="str">
        <f aca="false">D123</f>
        <v>test39</v>
      </c>
    </row>
    <row r="124" customFormat="false" ht="14.25" hidden="false" customHeight="true" outlineLevel="0" collapsed="false">
      <c r="C124" s="6" t="s">
        <v>178</v>
      </c>
      <c r="D124" s="6" t="s">
        <v>179</v>
      </c>
      <c r="E124" s="6" t="str">
        <f aca="false">Calc!C283</f>
        <v/>
      </c>
      <c r="F124" s="33" t="n">
        <f aca="false">Calc!F283</f>
        <v>0</v>
      </c>
      <c r="G124" s="41" t="e">
        <f aca="false">_xlfn.RANK.EQ(F124,$F$79:$F$148)</f>
        <v>#N/A</v>
      </c>
      <c r="H124" s="1" t="e">
        <f aca="false">COUNTIF($G$79:$G$148,G124)</f>
        <v>#N/A</v>
      </c>
      <c r="I124" s="1" t="e">
        <f aca="false">COUNTIF($G$79:G124,G124)</f>
        <v>#N/A</v>
      </c>
      <c r="J124" s="1" t="e">
        <f aca="false">G124+I124-1</f>
        <v>#N/A</v>
      </c>
      <c r="K124" s="1" t="str">
        <f aca="false">D124</f>
        <v>test40</v>
      </c>
    </row>
    <row r="125" customFormat="false" ht="14.25" hidden="false" customHeight="true" outlineLevel="0" collapsed="false">
      <c r="C125" s="6" t="s">
        <v>180</v>
      </c>
      <c r="D125" s="6" t="s">
        <v>181</v>
      </c>
      <c r="E125" s="6" t="str">
        <f aca="false">Calc!C284</f>
        <v/>
      </c>
      <c r="F125" s="33" t="n">
        <f aca="false">Calc!F284</f>
        <v>0</v>
      </c>
      <c r="G125" s="41" t="e">
        <f aca="false">_xlfn.RANK.EQ(F125,$F$79:$F$148)</f>
        <v>#N/A</v>
      </c>
      <c r="H125" s="1" t="e">
        <f aca="false">COUNTIF($G$79:$G$148,G125)</f>
        <v>#N/A</v>
      </c>
      <c r="I125" s="1" t="e">
        <f aca="false">COUNTIF($G$79:G125,G125)</f>
        <v>#N/A</v>
      </c>
      <c r="J125" s="1" t="e">
        <f aca="false">G125+I125-1</f>
        <v>#N/A</v>
      </c>
      <c r="K125" s="1" t="str">
        <f aca="false">D125</f>
        <v>test41</v>
      </c>
    </row>
    <row r="126" customFormat="false" ht="14.25" hidden="false" customHeight="true" outlineLevel="0" collapsed="false">
      <c r="C126" s="6" t="s">
        <v>182</v>
      </c>
      <c r="D126" s="6" t="s">
        <v>183</v>
      </c>
      <c r="E126" s="6" t="str">
        <f aca="false">Calc!C285</f>
        <v/>
      </c>
      <c r="F126" s="33" t="n">
        <f aca="false">Calc!F285</f>
        <v>0</v>
      </c>
      <c r="G126" s="41" t="e">
        <f aca="false">_xlfn.RANK.EQ(F126,$F$79:$F$148)</f>
        <v>#N/A</v>
      </c>
      <c r="H126" s="1" t="e">
        <f aca="false">COUNTIF($G$79:$G$148,G126)</f>
        <v>#N/A</v>
      </c>
      <c r="I126" s="1" t="e">
        <f aca="false">COUNTIF($G$79:G126,G126)</f>
        <v>#N/A</v>
      </c>
      <c r="J126" s="1" t="e">
        <f aca="false">G126+I126-1</f>
        <v>#N/A</v>
      </c>
      <c r="K126" s="1" t="str">
        <f aca="false">D126</f>
        <v>test42</v>
      </c>
    </row>
    <row r="127" customFormat="false" ht="14.25" hidden="false" customHeight="true" outlineLevel="0" collapsed="false">
      <c r="C127" s="6" t="s">
        <v>184</v>
      </c>
      <c r="D127" s="6" t="s">
        <v>185</v>
      </c>
      <c r="E127" s="6" t="str">
        <f aca="false">Calc!C286</f>
        <v/>
      </c>
      <c r="F127" s="33" t="n">
        <f aca="false">Calc!F286</f>
        <v>0</v>
      </c>
      <c r="G127" s="41" t="e">
        <f aca="false">_xlfn.RANK.EQ(F127,$F$79:$F$148)</f>
        <v>#N/A</v>
      </c>
      <c r="H127" s="1" t="e">
        <f aca="false">COUNTIF($G$79:$G$148,G127)</f>
        <v>#N/A</v>
      </c>
      <c r="I127" s="1" t="e">
        <f aca="false">COUNTIF($G$79:G127,G127)</f>
        <v>#N/A</v>
      </c>
      <c r="J127" s="1" t="e">
        <f aca="false">G127+I127-1</f>
        <v>#N/A</v>
      </c>
      <c r="K127" s="1" t="str">
        <f aca="false">D127</f>
        <v>test43</v>
      </c>
    </row>
    <row r="128" customFormat="false" ht="14.25" hidden="false" customHeight="true" outlineLevel="0" collapsed="false">
      <c r="C128" s="6" t="s">
        <v>186</v>
      </c>
      <c r="D128" s="6" t="s">
        <v>187</v>
      </c>
      <c r="E128" s="6" t="str">
        <f aca="false">Calc!C287</f>
        <v/>
      </c>
      <c r="F128" s="33" t="n">
        <f aca="false">Calc!F287</f>
        <v>0</v>
      </c>
      <c r="G128" s="41" t="e">
        <f aca="false">_xlfn.RANK.EQ(F128,$F$79:$F$148)</f>
        <v>#N/A</v>
      </c>
      <c r="H128" s="1" t="e">
        <f aca="false">COUNTIF($G$79:$G$148,G128)</f>
        <v>#N/A</v>
      </c>
      <c r="I128" s="1" t="e">
        <f aca="false">COUNTIF($G$79:G128,G128)</f>
        <v>#N/A</v>
      </c>
      <c r="J128" s="1" t="e">
        <f aca="false">G128+I128-1</f>
        <v>#N/A</v>
      </c>
      <c r="K128" s="1" t="str">
        <f aca="false">D128</f>
        <v>test44</v>
      </c>
    </row>
    <row r="129" customFormat="false" ht="14.25" hidden="false" customHeight="true" outlineLevel="0" collapsed="false">
      <c r="C129" s="6" t="s">
        <v>188</v>
      </c>
      <c r="D129" s="6" t="s">
        <v>189</v>
      </c>
      <c r="E129" s="6" t="str">
        <f aca="false">Calc!C288</f>
        <v/>
      </c>
      <c r="F129" s="33" t="n">
        <f aca="false">Calc!F288</f>
        <v>0</v>
      </c>
      <c r="G129" s="41" t="e">
        <f aca="false">_xlfn.RANK.EQ(F129,$F$79:$F$148)</f>
        <v>#N/A</v>
      </c>
      <c r="H129" s="1" t="e">
        <f aca="false">COUNTIF($G$79:$G$148,G129)</f>
        <v>#N/A</v>
      </c>
      <c r="I129" s="1" t="e">
        <f aca="false">COUNTIF($G$79:G129,G129)</f>
        <v>#N/A</v>
      </c>
      <c r="J129" s="1" t="e">
        <f aca="false">G129+I129-1</f>
        <v>#N/A</v>
      </c>
      <c r="K129" s="1" t="str">
        <f aca="false">D129</f>
        <v>test45</v>
      </c>
    </row>
    <row r="130" customFormat="false" ht="14.25" hidden="false" customHeight="true" outlineLevel="0" collapsed="false">
      <c r="C130" s="6" t="s">
        <v>190</v>
      </c>
      <c r="D130" s="6" t="s">
        <v>191</v>
      </c>
      <c r="E130" s="6" t="str">
        <f aca="false">Calc!C289</f>
        <v/>
      </c>
      <c r="F130" s="33" t="n">
        <f aca="false">Calc!F289</f>
        <v>0</v>
      </c>
      <c r="G130" s="41" t="e">
        <f aca="false">_xlfn.RANK.EQ(F130,$F$79:$F$148)</f>
        <v>#N/A</v>
      </c>
      <c r="H130" s="1" t="e">
        <f aca="false">COUNTIF($G$79:$G$148,G130)</f>
        <v>#N/A</v>
      </c>
      <c r="I130" s="1" t="e">
        <f aca="false">COUNTIF($G$79:G130,G130)</f>
        <v>#N/A</v>
      </c>
      <c r="J130" s="1" t="e">
        <f aca="false">G130+I130-1</f>
        <v>#N/A</v>
      </c>
      <c r="K130" s="1" t="str">
        <f aca="false">D130</f>
        <v>test46</v>
      </c>
    </row>
    <row r="131" customFormat="false" ht="14.25" hidden="false" customHeight="true" outlineLevel="0" collapsed="false">
      <c r="C131" s="6" t="s">
        <v>192</v>
      </c>
      <c r="D131" s="6" t="s">
        <v>193</v>
      </c>
      <c r="E131" s="6" t="str">
        <f aca="false">Calc!C290</f>
        <v/>
      </c>
      <c r="F131" s="33" t="n">
        <f aca="false">Calc!F290</f>
        <v>0</v>
      </c>
      <c r="G131" s="41" t="e">
        <f aca="false">_xlfn.RANK.EQ(F131,$F$79:$F$148)</f>
        <v>#N/A</v>
      </c>
      <c r="H131" s="1" t="e">
        <f aca="false">COUNTIF($G$79:$G$148,G131)</f>
        <v>#N/A</v>
      </c>
      <c r="I131" s="1" t="e">
        <f aca="false">COUNTIF($G$79:G131,G131)</f>
        <v>#N/A</v>
      </c>
      <c r="J131" s="1" t="e">
        <f aca="false">G131+I131-1</f>
        <v>#N/A</v>
      </c>
      <c r="K131" s="1" t="str">
        <f aca="false">D131</f>
        <v>test47</v>
      </c>
    </row>
    <row r="132" customFormat="false" ht="14.25" hidden="false" customHeight="true" outlineLevel="0" collapsed="false">
      <c r="C132" s="6" t="s">
        <v>194</v>
      </c>
      <c r="D132" s="6" t="s">
        <v>195</v>
      </c>
      <c r="E132" s="6" t="str">
        <f aca="false">Calc!C291</f>
        <v/>
      </c>
      <c r="F132" s="33" t="n">
        <f aca="false">Calc!F291</f>
        <v>0</v>
      </c>
      <c r="G132" s="41" t="e">
        <f aca="false">_xlfn.RANK.EQ(F132,$F$79:$F$148)</f>
        <v>#N/A</v>
      </c>
      <c r="H132" s="1" t="e">
        <f aca="false">COUNTIF($G$79:$G$148,G132)</f>
        <v>#N/A</v>
      </c>
      <c r="I132" s="1" t="e">
        <f aca="false">COUNTIF($G$79:G132,G132)</f>
        <v>#N/A</v>
      </c>
      <c r="J132" s="1" t="e">
        <f aca="false">G132+I132-1</f>
        <v>#N/A</v>
      </c>
      <c r="K132" s="1" t="str">
        <f aca="false">D132</f>
        <v>test48</v>
      </c>
    </row>
    <row r="133" customFormat="false" ht="14.25" hidden="false" customHeight="true" outlineLevel="0" collapsed="false">
      <c r="C133" s="6" t="s">
        <v>196</v>
      </c>
      <c r="D133" s="6" t="s">
        <v>197</v>
      </c>
      <c r="E133" s="6" t="str">
        <f aca="false">Calc!C292</f>
        <v/>
      </c>
      <c r="F133" s="33" t="n">
        <f aca="false">Calc!F292</f>
        <v>0</v>
      </c>
      <c r="G133" s="41" t="e">
        <f aca="false">_xlfn.RANK.EQ(F133,$F$79:$F$148)</f>
        <v>#N/A</v>
      </c>
      <c r="H133" s="1" t="e">
        <f aca="false">COUNTIF($G$79:$G$148,G133)</f>
        <v>#N/A</v>
      </c>
      <c r="I133" s="1" t="e">
        <f aca="false">COUNTIF($G$79:G133,G133)</f>
        <v>#N/A</v>
      </c>
      <c r="J133" s="1" t="e">
        <f aca="false">G133+I133-1</f>
        <v>#N/A</v>
      </c>
      <c r="K133" s="1" t="str">
        <f aca="false">D133</f>
        <v>test49</v>
      </c>
    </row>
    <row r="134" customFormat="false" ht="14.25" hidden="false" customHeight="true" outlineLevel="0" collapsed="false">
      <c r="C134" s="6" t="s">
        <v>198</v>
      </c>
      <c r="D134" s="6" t="s">
        <v>199</v>
      </c>
      <c r="E134" s="6" t="str">
        <f aca="false">Calc!C293</f>
        <v/>
      </c>
      <c r="F134" s="33" t="n">
        <f aca="false">Calc!F293</f>
        <v>0</v>
      </c>
      <c r="G134" s="41" t="e">
        <f aca="false">_xlfn.RANK.EQ(F134,$F$79:$F$148)</f>
        <v>#N/A</v>
      </c>
      <c r="H134" s="1" t="e">
        <f aca="false">COUNTIF($G$79:$G$148,G134)</f>
        <v>#N/A</v>
      </c>
      <c r="I134" s="1" t="e">
        <f aca="false">COUNTIF($G$79:G134,G134)</f>
        <v>#N/A</v>
      </c>
      <c r="J134" s="1" t="e">
        <f aca="false">G134+I134-1</f>
        <v>#N/A</v>
      </c>
      <c r="K134" s="1" t="str">
        <f aca="false">D134</f>
        <v>test50</v>
      </c>
    </row>
    <row r="135" customFormat="false" ht="14.25" hidden="false" customHeight="true" outlineLevel="0" collapsed="false">
      <c r="C135" s="6" t="s">
        <v>200</v>
      </c>
      <c r="D135" s="6" t="s">
        <v>201</v>
      </c>
      <c r="E135" s="6" t="str">
        <f aca="false">Calc!C294</f>
        <v/>
      </c>
      <c r="F135" s="33" t="n">
        <f aca="false">Calc!F294</f>
        <v>0</v>
      </c>
      <c r="G135" s="41" t="e">
        <f aca="false">_xlfn.RANK.EQ(F135,$F$79:$F$148)</f>
        <v>#N/A</v>
      </c>
      <c r="H135" s="1" t="e">
        <f aca="false">COUNTIF($G$79:$G$148,G135)</f>
        <v>#N/A</v>
      </c>
      <c r="I135" s="1" t="e">
        <f aca="false">COUNTIF($G$79:G135,G135)</f>
        <v>#N/A</v>
      </c>
      <c r="J135" s="1" t="e">
        <f aca="false">G135+I135-1</f>
        <v>#N/A</v>
      </c>
      <c r="K135" s="1" t="str">
        <f aca="false">D135</f>
        <v>test51</v>
      </c>
    </row>
    <row r="136" customFormat="false" ht="14.25" hidden="false" customHeight="true" outlineLevel="0" collapsed="false">
      <c r="C136" s="6" t="s">
        <v>202</v>
      </c>
      <c r="D136" s="6" t="s">
        <v>203</v>
      </c>
      <c r="E136" s="6" t="str">
        <f aca="false">Calc!C295</f>
        <v/>
      </c>
      <c r="F136" s="33" t="n">
        <f aca="false">Calc!F295</f>
        <v>0</v>
      </c>
      <c r="G136" s="41" t="e">
        <f aca="false">_xlfn.RANK.EQ(F136,$F$79:$F$148)</f>
        <v>#N/A</v>
      </c>
      <c r="H136" s="1" t="e">
        <f aca="false">COUNTIF($G$79:$G$148,G136)</f>
        <v>#N/A</v>
      </c>
      <c r="I136" s="1" t="e">
        <f aca="false">COUNTIF($G$79:G136,G136)</f>
        <v>#N/A</v>
      </c>
      <c r="J136" s="1" t="e">
        <f aca="false">G136+I136-1</f>
        <v>#N/A</v>
      </c>
      <c r="K136" s="1" t="str">
        <f aca="false">D136</f>
        <v>test52</v>
      </c>
    </row>
    <row r="137" customFormat="false" ht="14.25" hidden="false" customHeight="true" outlineLevel="0" collapsed="false">
      <c r="C137" s="6" t="s">
        <v>204</v>
      </c>
      <c r="D137" s="6" t="s">
        <v>205</v>
      </c>
      <c r="E137" s="6" t="str">
        <f aca="false">Calc!C296</f>
        <v/>
      </c>
      <c r="F137" s="33" t="n">
        <f aca="false">Calc!F296</f>
        <v>0</v>
      </c>
      <c r="G137" s="41" t="e">
        <f aca="false">_xlfn.RANK.EQ(F137,$F$79:$F$148)</f>
        <v>#N/A</v>
      </c>
      <c r="H137" s="1" t="e">
        <f aca="false">COUNTIF($G$79:$G$148,G137)</f>
        <v>#N/A</v>
      </c>
      <c r="I137" s="1" t="e">
        <f aca="false">COUNTIF($G$79:G137,G137)</f>
        <v>#N/A</v>
      </c>
      <c r="J137" s="1" t="e">
        <f aca="false">G137+I137-1</f>
        <v>#N/A</v>
      </c>
      <c r="K137" s="1" t="str">
        <f aca="false">D137</f>
        <v>test53</v>
      </c>
    </row>
    <row r="138" customFormat="false" ht="14.25" hidden="false" customHeight="true" outlineLevel="0" collapsed="false">
      <c r="C138" s="6" t="s">
        <v>206</v>
      </c>
      <c r="D138" s="6" t="s">
        <v>207</v>
      </c>
      <c r="E138" s="6" t="str">
        <f aca="false">Calc!C297</f>
        <v/>
      </c>
      <c r="F138" s="33" t="n">
        <f aca="false">Calc!F297</f>
        <v>0</v>
      </c>
      <c r="G138" s="41" t="e">
        <f aca="false">_xlfn.RANK.EQ(F138,$F$79:$F$148)</f>
        <v>#N/A</v>
      </c>
      <c r="H138" s="1" t="e">
        <f aca="false">COUNTIF($G$79:$G$148,G138)</f>
        <v>#N/A</v>
      </c>
      <c r="I138" s="1" t="e">
        <f aca="false">COUNTIF($G$79:G138,G138)</f>
        <v>#N/A</v>
      </c>
      <c r="J138" s="1" t="e">
        <f aca="false">G138+I138-1</f>
        <v>#N/A</v>
      </c>
      <c r="K138" s="1" t="str">
        <f aca="false">D138</f>
        <v>test54</v>
      </c>
    </row>
    <row r="139" customFormat="false" ht="14.25" hidden="false" customHeight="true" outlineLevel="0" collapsed="false">
      <c r="C139" s="6" t="s">
        <v>208</v>
      </c>
      <c r="D139" s="6" t="s">
        <v>209</v>
      </c>
      <c r="E139" s="6" t="str">
        <f aca="false">Calc!C298</f>
        <v/>
      </c>
      <c r="F139" s="33" t="n">
        <f aca="false">Calc!F298</f>
        <v>0</v>
      </c>
      <c r="G139" s="41" t="e">
        <f aca="false">_xlfn.RANK.EQ(F139,$F$79:$F$148)</f>
        <v>#N/A</v>
      </c>
      <c r="H139" s="1" t="e">
        <f aca="false">COUNTIF($G$79:$G$148,G139)</f>
        <v>#N/A</v>
      </c>
      <c r="I139" s="1" t="e">
        <f aca="false">COUNTIF($G$79:G139,G139)</f>
        <v>#N/A</v>
      </c>
      <c r="J139" s="1" t="e">
        <f aca="false">G139+I139-1</f>
        <v>#N/A</v>
      </c>
      <c r="K139" s="1" t="str">
        <f aca="false">D139</f>
        <v>test55</v>
      </c>
    </row>
    <row r="140" customFormat="false" ht="14.25" hidden="false" customHeight="true" outlineLevel="0" collapsed="false">
      <c r="C140" s="6" t="s">
        <v>210</v>
      </c>
      <c r="D140" s="6" t="s">
        <v>211</v>
      </c>
      <c r="E140" s="6" t="str">
        <f aca="false">Calc!C299</f>
        <v/>
      </c>
      <c r="F140" s="33" t="n">
        <f aca="false">Calc!F299</f>
        <v>0</v>
      </c>
      <c r="G140" s="41" t="e">
        <f aca="false">_xlfn.RANK.EQ(F140,$F$79:$F$148)</f>
        <v>#N/A</v>
      </c>
      <c r="H140" s="1" t="e">
        <f aca="false">COUNTIF($G$79:$G$148,G140)</f>
        <v>#N/A</v>
      </c>
      <c r="I140" s="1" t="e">
        <f aca="false">COUNTIF($G$79:G140,G140)</f>
        <v>#N/A</v>
      </c>
      <c r="J140" s="1" t="e">
        <f aca="false">G140+I140-1</f>
        <v>#N/A</v>
      </c>
      <c r="K140" s="1" t="str">
        <f aca="false">D140</f>
        <v>test56</v>
      </c>
    </row>
    <row r="141" customFormat="false" ht="14.25" hidden="false" customHeight="true" outlineLevel="0" collapsed="false">
      <c r="C141" s="6" t="s">
        <v>212</v>
      </c>
      <c r="D141" s="6" t="s">
        <v>213</v>
      </c>
      <c r="E141" s="6" t="str">
        <f aca="false">Calc!C300</f>
        <v/>
      </c>
      <c r="F141" s="33" t="n">
        <f aca="false">Calc!F300</f>
        <v>0</v>
      </c>
      <c r="G141" s="41" t="e">
        <f aca="false">_xlfn.RANK.EQ(F141,$F$79:$F$148)</f>
        <v>#N/A</v>
      </c>
      <c r="H141" s="1" t="e">
        <f aca="false">COUNTIF($G$79:$G$148,G141)</f>
        <v>#N/A</v>
      </c>
      <c r="I141" s="1" t="e">
        <f aca="false">COUNTIF($G$79:G141,G141)</f>
        <v>#N/A</v>
      </c>
      <c r="J141" s="1" t="e">
        <f aca="false">G141+I141-1</f>
        <v>#N/A</v>
      </c>
      <c r="K141" s="1" t="str">
        <f aca="false">D141</f>
        <v>test57</v>
      </c>
    </row>
    <row r="142" customFormat="false" ht="14.25" hidden="false" customHeight="true" outlineLevel="0" collapsed="false">
      <c r="C142" s="6" t="s">
        <v>214</v>
      </c>
      <c r="D142" s="6" t="s">
        <v>215</v>
      </c>
      <c r="E142" s="6" t="str">
        <f aca="false">Calc!C301</f>
        <v/>
      </c>
      <c r="F142" s="33" t="n">
        <f aca="false">Calc!F301</f>
        <v>0</v>
      </c>
      <c r="G142" s="41" t="e">
        <f aca="false">_xlfn.RANK.EQ(F142,$F$79:$F$148)</f>
        <v>#N/A</v>
      </c>
      <c r="H142" s="1" t="e">
        <f aca="false">COUNTIF($G$79:$G$148,G142)</f>
        <v>#N/A</v>
      </c>
      <c r="I142" s="1" t="e">
        <f aca="false">COUNTIF($G$79:G142,G142)</f>
        <v>#N/A</v>
      </c>
      <c r="J142" s="1" t="e">
        <f aca="false">G142+I142-1</f>
        <v>#N/A</v>
      </c>
      <c r="K142" s="1" t="str">
        <f aca="false">D142</f>
        <v>test58</v>
      </c>
    </row>
    <row r="143" customFormat="false" ht="14.25" hidden="false" customHeight="true" outlineLevel="0" collapsed="false">
      <c r="C143" s="6" t="s">
        <v>216</v>
      </c>
      <c r="D143" s="6" t="s">
        <v>217</v>
      </c>
      <c r="E143" s="6" t="str">
        <f aca="false">Calc!C302</f>
        <v/>
      </c>
      <c r="F143" s="33" t="n">
        <f aca="false">Calc!F302</f>
        <v>0</v>
      </c>
      <c r="G143" s="41" t="e">
        <f aca="false">_xlfn.RANK.EQ(F143,$F$79:$F$148)</f>
        <v>#N/A</v>
      </c>
      <c r="H143" s="1" t="e">
        <f aca="false">COUNTIF($G$79:$G$148,G143)</f>
        <v>#N/A</v>
      </c>
      <c r="I143" s="1" t="e">
        <f aca="false">COUNTIF($G$79:G143,G143)</f>
        <v>#N/A</v>
      </c>
      <c r="J143" s="1" t="e">
        <f aca="false">G143+I143-1</f>
        <v>#N/A</v>
      </c>
      <c r="K143" s="1" t="str">
        <f aca="false">D143</f>
        <v>test59</v>
      </c>
    </row>
    <row r="144" customFormat="false" ht="14.25" hidden="false" customHeight="true" outlineLevel="0" collapsed="false">
      <c r="C144" s="6" t="s">
        <v>218</v>
      </c>
      <c r="D144" s="6" t="s">
        <v>219</v>
      </c>
      <c r="E144" s="6" t="str">
        <f aca="false">Calc!C303</f>
        <v/>
      </c>
      <c r="F144" s="33" t="n">
        <f aca="false">Calc!F303</f>
        <v>0</v>
      </c>
      <c r="G144" s="41" t="e">
        <f aca="false">_xlfn.RANK.EQ(F144,$F$79:$F$148)</f>
        <v>#N/A</v>
      </c>
      <c r="H144" s="1" t="e">
        <f aca="false">COUNTIF($G$79:$G$148,G144)</f>
        <v>#N/A</v>
      </c>
      <c r="I144" s="1" t="e">
        <f aca="false">COUNTIF($G$79:G144,G144)</f>
        <v>#N/A</v>
      </c>
      <c r="J144" s="1" t="e">
        <f aca="false">G144+I144-1</f>
        <v>#N/A</v>
      </c>
      <c r="K144" s="1" t="str">
        <f aca="false">D144</f>
        <v>test60</v>
      </c>
    </row>
    <row r="145" customFormat="false" ht="14.25" hidden="false" customHeight="true" outlineLevel="0" collapsed="false">
      <c r="C145" s="6" t="s">
        <v>220</v>
      </c>
      <c r="D145" s="6" t="s">
        <v>221</v>
      </c>
      <c r="E145" s="6" t="e">
        <f aca="false">Calc!C304</f>
        <v>#N/A</v>
      </c>
      <c r="F145" s="33" t="n">
        <f aca="false">Calc!F304</f>
        <v>0</v>
      </c>
      <c r="G145" s="41" t="e">
        <f aca="false">_xlfn.RANK.EQ(F145,$F$79:$F$148)</f>
        <v>#N/A</v>
      </c>
      <c r="H145" s="1" t="e">
        <f aca="false">COUNTIF($G$79:$G$148,G145)</f>
        <v>#N/A</v>
      </c>
      <c r="I145" s="1" t="e">
        <f aca="false">COUNTIF($G$79:G145,G145)</f>
        <v>#N/A</v>
      </c>
      <c r="J145" s="1" t="e">
        <f aca="false">G145+I145-1</f>
        <v>#N/A</v>
      </c>
      <c r="K145" s="1" t="str">
        <f aca="false">D145</f>
        <v>test61</v>
      </c>
    </row>
    <row r="146" customFormat="false" ht="14.25" hidden="false" customHeight="true" outlineLevel="0" collapsed="false">
      <c r="C146" s="6" t="s">
        <v>222</v>
      </c>
      <c r="D146" s="6" t="s">
        <v>223</v>
      </c>
      <c r="E146" s="6" t="e">
        <f aca="false">Calc!C305</f>
        <v>#N/A</v>
      </c>
      <c r="F146" s="33" t="n">
        <f aca="false">Calc!F305</f>
        <v>0</v>
      </c>
      <c r="G146" s="41" t="e">
        <f aca="false">_xlfn.RANK.EQ(F146,$F$79:$F$148)</f>
        <v>#N/A</v>
      </c>
      <c r="H146" s="1" t="e">
        <f aca="false">COUNTIF($G$79:$G$148,G146)</f>
        <v>#N/A</v>
      </c>
      <c r="I146" s="1" t="e">
        <f aca="false">COUNTIF($G$79:G146,G146)</f>
        <v>#N/A</v>
      </c>
      <c r="J146" s="1" t="e">
        <f aca="false">G146+I146-1</f>
        <v>#N/A</v>
      </c>
      <c r="K146" s="1" t="str">
        <f aca="false">D146</f>
        <v>test62</v>
      </c>
    </row>
    <row r="147" customFormat="false" ht="14.25" hidden="false" customHeight="true" outlineLevel="0" collapsed="false">
      <c r="C147" s="6" t="s">
        <v>224</v>
      </c>
      <c r="D147" s="6" t="s">
        <v>225</v>
      </c>
      <c r="E147" s="6" t="e">
        <f aca="false">Calc!C306</f>
        <v>#N/A</v>
      </c>
      <c r="F147" s="33" t="n">
        <f aca="false">Calc!F306</f>
        <v>0</v>
      </c>
      <c r="G147" s="41" t="e">
        <f aca="false">_xlfn.RANK.EQ(F147,$F$79:$F$148)</f>
        <v>#N/A</v>
      </c>
      <c r="H147" s="1" t="e">
        <f aca="false">COUNTIF($G$79:$G$148,G147)</f>
        <v>#N/A</v>
      </c>
      <c r="I147" s="1" t="e">
        <f aca="false">COUNTIF($G$79:G147,G147)</f>
        <v>#N/A</v>
      </c>
      <c r="J147" s="1" t="e">
        <f aca="false">G147+I147-1</f>
        <v>#N/A</v>
      </c>
      <c r="K147" s="1" t="str">
        <f aca="false">D147</f>
        <v>test63</v>
      </c>
    </row>
    <row r="148" customFormat="false" ht="14.25" hidden="false" customHeight="true" outlineLevel="0" collapsed="false">
      <c r="C148" s="6" t="s">
        <v>226</v>
      </c>
      <c r="D148" s="6" t="s">
        <v>227</v>
      </c>
      <c r="E148" s="6" t="e">
        <f aca="false">Calc!C307</f>
        <v>#N/A</v>
      </c>
      <c r="F148" s="33" t="n">
        <f aca="false">Calc!F307</f>
        <v>0</v>
      </c>
      <c r="G148" s="41" t="e">
        <f aca="false">_xlfn.RANK.EQ(F148,$F$79:$F$148)</f>
        <v>#N/A</v>
      </c>
      <c r="H148" s="1" t="e">
        <f aca="false">COUNTIF($G$79:$G$148,G148)</f>
        <v>#N/A</v>
      </c>
      <c r="I148" s="1" t="e">
        <f aca="false">COUNTIF($G$79:G148,G148)</f>
        <v>#N/A</v>
      </c>
      <c r="J148" s="1" t="e">
        <f aca="false">G148+I148-1</f>
        <v>#N/A</v>
      </c>
      <c r="K148" s="1" t="str">
        <f aca="false">D148</f>
        <v>test64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I331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F313" activeCellId="0" sqref="F313"/>
    </sheetView>
  </sheetViews>
  <sheetFormatPr defaultColWidth="8.6796875" defaultRowHeight="14.25" zeroHeight="false" outlineLevelRow="0" outlineLevelCol="0"/>
  <cols>
    <col collapsed="false" customWidth="true" hidden="false" outlineLevel="0" max="2" min="2" style="1" width="28.73"/>
    <col collapsed="false" customWidth="true" hidden="false" outlineLevel="0" max="6" min="3" style="1" width="3.91"/>
    <col collapsed="false" customWidth="true" hidden="false" outlineLevel="0" max="9" min="7" style="1" width="4.18"/>
    <col collapsed="false" customWidth="false" hidden="false" outlineLevel="0" max="10" min="10" style="1" width="8.73"/>
    <col collapsed="false" customWidth="true" hidden="false" outlineLevel="0" max="14" min="12" style="1" width="4.18"/>
    <col collapsed="false" customWidth="true" hidden="false" outlineLevel="0" max="19" min="17" style="1" width="4.18"/>
    <col collapsed="false" customWidth="true" hidden="false" outlineLevel="0" max="24" min="22" style="1" width="4.18"/>
    <col collapsed="false" customWidth="true" hidden="false" outlineLevel="0" max="29" min="27" style="1" width="4.18"/>
    <col collapsed="false" customWidth="true" hidden="false" outlineLevel="0" max="34" min="32" style="1" width="4.18"/>
  </cols>
  <sheetData>
    <row r="3" s="42" customFormat="true" ht="14.25" hidden="false" customHeight="true" outlineLevel="0" collapsed="false">
      <c r="B3" s="40" t="s">
        <v>84</v>
      </c>
      <c r="C3" s="40"/>
      <c r="D3" s="43"/>
      <c r="E3" s="43"/>
      <c r="F3" s="43"/>
      <c r="G3" s="9"/>
      <c r="H3" s="44"/>
      <c r="I3" s="44"/>
      <c r="J3" s="45" t="e">
        <f aca="false">LEFT(J5,3)</f>
        <v>#NAME?</v>
      </c>
      <c r="L3" s="9"/>
      <c r="M3" s="44"/>
      <c r="N3" s="44"/>
      <c r="O3" s="45" t="e">
        <f aca="false">LEFT(O5,3)</f>
        <v>#NAME?</v>
      </c>
      <c r="Q3" s="9"/>
      <c r="R3" s="44"/>
      <c r="S3" s="44"/>
      <c r="T3" s="45" t="e">
        <f aca="false">LEFT(T5,3)</f>
        <v>#NAME?</v>
      </c>
      <c r="V3" s="9"/>
      <c r="W3" s="44"/>
      <c r="X3" s="44"/>
      <c r="Y3" s="45" t="e">
        <f aca="false">LEFT(Y5,3)</f>
        <v>#NAME?</v>
      </c>
      <c r="AA3" s="9"/>
      <c r="AB3" s="44"/>
      <c r="AC3" s="44"/>
      <c r="AD3" s="45" t="e">
        <f aca="false">LEFT(AD5,3)</f>
        <v>#NAME?</v>
      </c>
      <c r="AF3" s="9"/>
      <c r="AG3" s="44"/>
      <c r="AH3" s="44"/>
      <c r="AI3" s="45" t="e">
        <f aca="false">LEFT(AI5,3)</f>
        <v>#NAME?</v>
      </c>
    </row>
    <row r="4" s="42" customFormat="true" ht="14.25" hidden="false" customHeight="true" outlineLevel="0" collapsed="false">
      <c r="B4" s="40" t="s">
        <v>0</v>
      </c>
      <c r="C4" s="40"/>
      <c r="D4" s="43"/>
      <c r="E4" s="43"/>
      <c r="F4" s="43"/>
      <c r="G4" s="9"/>
      <c r="H4" s="44"/>
      <c r="I4" s="44"/>
      <c r="J4" s="45" t="e">
        <f aca="false">MID(J5,5,31)</f>
        <v>#NAME?</v>
      </c>
      <c r="L4" s="9"/>
      <c r="M4" s="44"/>
      <c r="N4" s="44"/>
      <c r="O4" s="45" t="e">
        <f aca="false">MID(O5,5,31)</f>
        <v>#NAME?</v>
      </c>
      <c r="Q4" s="9"/>
      <c r="R4" s="44"/>
      <c r="S4" s="44"/>
      <c r="T4" s="45" t="e">
        <f aca="false">MID(T5,5,31)</f>
        <v>#NAME?</v>
      </c>
      <c r="V4" s="9"/>
      <c r="W4" s="44"/>
      <c r="X4" s="44"/>
      <c r="Y4" s="45" t="e">
        <f aca="false">MID(Y5,5,31)</f>
        <v>#NAME?</v>
      </c>
      <c r="AA4" s="9"/>
      <c r="AB4" s="44"/>
      <c r="AC4" s="44"/>
      <c r="AD4" s="45" t="e">
        <f aca="false">MID(AD5,5,31)</f>
        <v>#NAME?</v>
      </c>
      <c r="AF4" s="9"/>
      <c r="AG4" s="44"/>
      <c r="AH4" s="44"/>
      <c r="AI4" s="45" t="e">
        <f aca="false">MID(AI5,5,31)</f>
        <v>#NAME?</v>
      </c>
    </row>
    <row r="5" s="42" customFormat="true" ht="14.25" hidden="false" customHeight="true" outlineLevel="0" collapsed="false">
      <c r="B5" s="40" t="s">
        <v>228</v>
      </c>
      <c r="C5" s="40"/>
      <c r="D5" s="43"/>
      <c r="E5" s="43"/>
      <c r="F5" s="43"/>
      <c r="G5" s="9"/>
      <c r="H5" s="44"/>
      <c r="I5" s="44"/>
      <c r="J5" s="44" t="e">
        <f aca="false" t="array" ref="J5:J5">_xlfn.textafter(CELL("filename",001_MikiZiso3!A1),"]")</f>
        <v>#NAME?</v>
      </c>
      <c r="L5" s="9"/>
      <c r="M5" s="44"/>
      <c r="N5" s="44"/>
      <c r="O5" s="44" t="e">
        <f aca="false" t="array" ref="O5:O5">_xlfn.textafter(CELL("filename",002_MikiZiso2!G1),"]")</f>
        <v>#NAME?</v>
      </c>
      <c r="Q5" s="9"/>
      <c r="R5" s="44"/>
      <c r="S5" s="44"/>
      <c r="T5" s="44" t="e">
        <f aca="false" t="array" ref="T5:T5">_xlfn.textafter(CELL("filename",003_Miki_Ziso!A1),"]")</f>
        <v>#NAME?</v>
      </c>
      <c r="V5" s="9"/>
      <c r="W5" s="44"/>
      <c r="X5" s="44"/>
      <c r="Y5" s="44" t="e">
        <f aca="false" t="array" ref="Y5:Y5">_xlfn.textafter(CELL("filename",004_Nir1!A1),"]")</f>
        <v>#NAME?</v>
      </c>
      <c r="AA5" s="9"/>
      <c r="AB5" s="44"/>
      <c r="AC5" s="44"/>
      <c r="AD5" s="44" t="e">
        <f aca="false" t="array" ref="AD5:AD5">_xlfn.textafter(CELL("filename",005_Nir2!A1),"]")</f>
        <v>#NAME?</v>
      </c>
      <c r="AF5" s="9"/>
      <c r="AG5" s="44"/>
      <c r="AH5" s="44"/>
      <c r="AI5" s="44" t="e">
        <f aca="false" t="array" ref="AI5:AI5">_xlfn.textafter(CELL("filename",006_Nir3!A1),"]")</f>
        <v>#NAME?</v>
      </c>
    </row>
    <row r="6" customFormat="false" ht="14.25" hidden="false" customHeight="true" outlineLevel="0" collapsed="false">
      <c r="G6" s="9"/>
      <c r="H6" s="9"/>
      <c r="I6" s="9"/>
      <c r="J6" s="45"/>
      <c r="L6" s="9"/>
      <c r="M6" s="9"/>
      <c r="N6" s="9"/>
      <c r="O6" s="45"/>
      <c r="Q6" s="9"/>
      <c r="R6" s="9"/>
      <c r="S6" s="9"/>
      <c r="T6" s="45"/>
      <c r="V6" s="9"/>
      <c r="W6" s="9"/>
      <c r="X6" s="9"/>
      <c r="Y6" s="45"/>
      <c r="AA6" s="9"/>
      <c r="AB6" s="9"/>
      <c r="AC6" s="9"/>
      <c r="AD6" s="45"/>
      <c r="AF6" s="9"/>
      <c r="AG6" s="9"/>
      <c r="AH6" s="9"/>
      <c r="AI6" s="45"/>
    </row>
    <row r="7" customFormat="false" ht="14.25" hidden="false" customHeight="true" outlineLevel="0" collapsed="false">
      <c r="G7" s="46" t="s">
        <v>49</v>
      </c>
      <c r="H7" s="9"/>
      <c r="I7" s="45"/>
      <c r="J7" s="47" t="str">
        <f aca="false">G169</f>
        <v>France</v>
      </c>
      <c r="L7" s="46" t="s">
        <v>49</v>
      </c>
      <c r="M7" s="9"/>
      <c r="N7" s="45"/>
      <c r="O7" s="47" t="str">
        <f aca="false">L169</f>
        <v>Germany</v>
      </c>
      <c r="Q7" s="46" t="s">
        <v>49</v>
      </c>
      <c r="R7" s="9"/>
      <c r="S7" s="45"/>
      <c r="T7" s="47" t="str">
        <f aca="false">Q169</f>
        <v>Brazil</v>
      </c>
      <c r="V7" s="46" t="s">
        <v>49</v>
      </c>
      <c r="W7" s="9"/>
      <c r="X7" s="45"/>
      <c r="Y7" s="47" t="str">
        <f aca="false">V169</f>
        <v>Senegal</v>
      </c>
      <c r="AA7" s="46" t="s">
        <v>49</v>
      </c>
      <c r="AB7" s="9"/>
      <c r="AC7" s="45"/>
      <c r="AD7" s="47" t="str">
        <f aca="false">AA169</f>
        <v>Belgium</v>
      </c>
      <c r="AF7" s="46" t="s">
        <v>49</v>
      </c>
      <c r="AG7" s="9"/>
      <c r="AH7" s="45"/>
      <c r="AI7" s="47" t="str">
        <f aca="false">AF169</f>
        <v>Uzbekistan</v>
      </c>
    </row>
    <row r="8" customFormat="false" ht="14.25" hidden="false" customHeight="true" outlineLevel="0" collapsed="false">
      <c r="G8" s="48" t="s">
        <v>229</v>
      </c>
      <c r="H8" s="9"/>
      <c r="I8" s="9"/>
      <c r="J8" s="49" t="n">
        <f aca="false">SUM(J9:J15)</f>
        <v>0</v>
      </c>
      <c r="L8" s="48" t="s">
        <v>229</v>
      </c>
      <c r="M8" s="9"/>
      <c r="N8" s="9"/>
      <c r="O8" s="49" t="n">
        <f aca="false">SUM(O9:O15)</f>
        <v>0</v>
      </c>
      <c r="Q8" s="48" t="s">
        <v>229</v>
      </c>
      <c r="R8" s="9"/>
      <c r="S8" s="9"/>
      <c r="T8" s="49" t="n">
        <f aca="false">SUM(T9:T15)</f>
        <v>0</v>
      </c>
      <c r="V8" s="48" t="s">
        <v>229</v>
      </c>
      <c r="W8" s="9"/>
      <c r="X8" s="9"/>
      <c r="Y8" s="49" t="n">
        <f aca="false">SUM(Y9:Y15)</f>
        <v>0</v>
      </c>
      <c r="AA8" s="48" t="s">
        <v>229</v>
      </c>
      <c r="AB8" s="9"/>
      <c r="AC8" s="9"/>
      <c r="AD8" s="49" t="n">
        <f aca="false">SUM(AD9:AD15)</f>
        <v>0</v>
      </c>
      <c r="AF8" s="48" t="s">
        <v>229</v>
      </c>
      <c r="AG8" s="9"/>
      <c r="AH8" s="9"/>
      <c r="AI8" s="49" t="n">
        <f aca="false">SUM(AI9:AI15)</f>
        <v>0</v>
      </c>
    </row>
    <row r="9" customFormat="false" ht="14.25" hidden="false" customHeight="true" outlineLevel="0" collapsed="false">
      <c r="G9" s="50" t="s">
        <v>230</v>
      </c>
      <c r="H9" s="9"/>
      <c r="I9" s="9"/>
      <c r="J9" s="51" t="n">
        <f aca="false">J93</f>
        <v>0</v>
      </c>
      <c r="L9" s="50" t="s">
        <v>230</v>
      </c>
      <c r="M9" s="9"/>
      <c r="N9" s="9"/>
      <c r="O9" s="51" t="n">
        <f aca="false">O93</f>
        <v>0</v>
      </c>
      <c r="Q9" s="50" t="s">
        <v>230</v>
      </c>
      <c r="R9" s="9"/>
      <c r="S9" s="9"/>
      <c r="T9" s="51" t="n">
        <f aca="false">T93</f>
        <v>0</v>
      </c>
      <c r="V9" s="50" t="s">
        <v>230</v>
      </c>
      <c r="W9" s="9"/>
      <c r="X9" s="9"/>
      <c r="Y9" s="51" t="n">
        <f aca="false">Y93</f>
        <v>0</v>
      </c>
      <c r="AA9" s="50" t="s">
        <v>230</v>
      </c>
      <c r="AB9" s="9"/>
      <c r="AC9" s="9"/>
      <c r="AD9" s="51" t="n">
        <f aca="false">AD93</f>
        <v>0</v>
      </c>
      <c r="AF9" s="50" t="s">
        <v>230</v>
      </c>
      <c r="AG9" s="9"/>
      <c r="AH9" s="9"/>
      <c r="AI9" s="51" t="n">
        <f aca="false">AI93</f>
        <v>0</v>
      </c>
    </row>
    <row r="10" customFormat="false" ht="14.25" hidden="false" customHeight="true" outlineLevel="0" collapsed="false">
      <c r="G10" s="50" t="s">
        <v>6</v>
      </c>
      <c r="H10" s="9"/>
      <c r="I10" s="9"/>
      <c r="J10" s="51" t="n">
        <f aca="false">J96</f>
        <v>0</v>
      </c>
      <c r="L10" s="50" t="s">
        <v>6</v>
      </c>
      <c r="M10" s="9"/>
      <c r="N10" s="9"/>
      <c r="O10" s="51" t="n">
        <f aca="false">O96</f>
        <v>0</v>
      </c>
      <c r="Q10" s="50" t="s">
        <v>6</v>
      </c>
      <c r="R10" s="9"/>
      <c r="S10" s="9"/>
      <c r="T10" s="51" t="n">
        <f aca="false">T96</f>
        <v>0</v>
      </c>
      <c r="V10" s="50" t="s">
        <v>6</v>
      </c>
      <c r="W10" s="9"/>
      <c r="X10" s="9"/>
      <c r="Y10" s="51" t="n">
        <f aca="false">Y96</f>
        <v>0</v>
      </c>
      <c r="AA10" s="50" t="s">
        <v>6</v>
      </c>
      <c r="AB10" s="9"/>
      <c r="AC10" s="9"/>
      <c r="AD10" s="51" t="n">
        <f aca="false">AD96</f>
        <v>0</v>
      </c>
      <c r="AF10" s="50" t="s">
        <v>6</v>
      </c>
      <c r="AG10" s="9"/>
      <c r="AH10" s="9"/>
      <c r="AI10" s="51" t="n">
        <f aca="false">AI96</f>
        <v>0</v>
      </c>
    </row>
    <row r="11" customFormat="false" ht="14.25" hidden="false" customHeight="true" outlineLevel="0" collapsed="false">
      <c r="G11" s="50" t="s">
        <v>7</v>
      </c>
      <c r="H11" s="9"/>
      <c r="I11" s="9"/>
      <c r="J11" s="51" t="n">
        <f aca="false">J130</f>
        <v>0</v>
      </c>
      <c r="L11" s="50" t="s">
        <v>7</v>
      </c>
      <c r="M11" s="9"/>
      <c r="N11" s="9"/>
      <c r="O11" s="51" t="n">
        <f aca="false">O130</f>
        <v>0</v>
      </c>
      <c r="Q11" s="50" t="s">
        <v>7</v>
      </c>
      <c r="R11" s="9"/>
      <c r="S11" s="9"/>
      <c r="T11" s="51" t="n">
        <f aca="false">T130</f>
        <v>0</v>
      </c>
      <c r="V11" s="50" t="s">
        <v>7</v>
      </c>
      <c r="W11" s="9"/>
      <c r="X11" s="9"/>
      <c r="Y11" s="51" t="n">
        <f aca="false">Y130</f>
        <v>0</v>
      </c>
      <c r="AA11" s="50" t="s">
        <v>7</v>
      </c>
      <c r="AB11" s="9"/>
      <c r="AC11" s="9"/>
      <c r="AD11" s="51" t="n">
        <f aca="false">AD130</f>
        <v>0</v>
      </c>
      <c r="AF11" s="50" t="s">
        <v>7</v>
      </c>
      <c r="AG11" s="9"/>
      <c r="AH11" s="9"/>
      <c r="AI11" s="51" t="n">
        <f aca="false">AI130</f>
        <v>0</v>
      </c>
    </row>
    <row r="12" customFormat="false" ht="14.25" hidden="false" customHeight="true" outlineLevel="0" collapsed="false">
      <c r="G12" s="50" t="s">
        <v>26</v>
      </c>
      <c r="H12" s="9"/>
      <c r="I12" s="9"/>
      <c r="J12" s="51" t="n">
        <f aca="false">J148</f>
        <v>0</v>
      </c>
      <c r="L12" s="50" t="s">
        <v>26</v>
      </c>
      <c r="M12" s="9"/>
      <c r="N12" s="9"/>
      <c r="O12" s="51" t="n">
        <f aca="false">O148</f>
        <v>0</v>
      </c>
      <c r="Q12" s="50" t="s">
        <v>26</v>
      </c>
      <c r="R12" s="9"/>
      <c r="S12" s="9"/>
      <c r="T12" s="51" t="n">
        <f aca="false">T148</f>
        <v>0</v>
      </c>
      <c r="V12" s="50" t="s">
        <v>26</v>
      </c>
      <c r="W12" s="9"/>
      <c r="X12" s="9"/>
      <c r="Y12" s="51" t="n">
        <f aca="false">Y148</f>
        <v>0</v>
      </c>
      <c r="AA12" s="50" t="s">
        <v>26</v>
      </c>
      <c r="AB12" s="9"/>
      <c r="AC12" s="9"/>
      <c r="AD12" s="51" t="n">
        <f aca="false">AD148</f>
        <v>0</v>
      </c>
      <c r="AF12" s="50" t="s">
        <v>26</v>
      </c>
      <c r="AG12" s="9"/>
      <c r="AH12" s="9"/>
      <c r="AI12" s="51" t="n">
        <f aca="false">AI148</f>
        <v>0</v>
      </c>
    </row>
    <row r="13" customFormat="false" ht="14.25" hidden="false" customHeight="true" outlineLevel="0" collapsed="false">
      <c r="G13" s="50" t="s">
        <v>37</v>
      </c>
      <c r="H13" s="9"/>
      <c r="I13" s="9"/>
      <c r="J13" s="51" t="n">
        <f aca="false">J158</f>
        <v>0</v>
      </c>
      <c r="L13" s="50" t="s">
        <v>37</v>
      </c>
      <c r="M13" s="9"/>
      <c r="N13" s="9"/>
      <c r="O13" s="51" t="n">
        <f aca="false">O158</f>
        <v>0</v>
      </c>
      <c r="Q13" s="50" t="s">
        <v>37</v>
      </c>
      <c r="R13" s="9"/>
      <c r="S13" s="9"/>
      <c r="T13" s="51" t="n">
        <f aca="false">T158</f>
        <v>0</v>
      </c>
      <c r="V13" s="50" t="s">
        <v>37</v>
      </c>
      <c r="W13" s="9"/>
      <c r="X13" s="9"/>
      <c r="Y13" s="51" t="n">
        <f aca="false">Y158</f>
        <v>0</v>
      </c>
      <c r="AA13" s="50" t="s">
        <v>37</v>
      </c>
      <c r="AB13" s="9"/>
      <c r="AC13" s="9"/>
      <c r="AD13" s="51" t="n">
        <f aca="false">AD158</f>
        <v>0</v>
      </c>
      <c r="AF13" s="50" t="s">
        <v>37</v>
      </c>
      <c r="AG13" s="9"/>
      <c r="AH13" s="9"/>
      <c r="AI13" s="51" t="n">
        <f aca="false">AI158</f>
        <v>0</v>
      </c>
    </row>
    <row r="14" customFormat="false" ht="14.25" hidden="false" customHeight="true" outlineLevel="0" collapsed="false">
      <c r="G14" s="50" t="s">
        <v>44</v>
      </c>
      <c r="H14" s="9"/>
      <c r="I14" s="9"/>
      <c r="J14" s="51" t="n">
        <f aca="false">J164</f>
        <v>0</v>
      </c>
      <c r="L14" s="50" t="s">
        <v>44</v>
      </c>
      <c r="M14" s="9"/>
      <c r="N14" s="9"/>
      <c r="O14" s="51" t="n">
        <f aca="false">O164</f>
        <v>0</v>
      </c>
      <c r="Q14" s="50" t="s">
        <v>44</v>
      </c>
      <c r="R14" s="9"/>
      <c r="S14" s="9"/>
      <c r="T14" s="51" t="n">
        <f aca="false">T164</f>
        <v>0</v>
      </c>
      <c r="V14" s="50" t="s">
        <v>44</v>
      </c>
      <c r="W14" s="9"/>
      <c r="X14" s="9"/>
      <c r="Y14" s="51" t="n">
        <f aca="false">Y164</f>
        <v>0</v>
      </c>
      <c r="AA14" s="50" t="s">
        <v>44</v>
      </c>
      <c r="AB14" s="9"/>
      <c r="AC14" s="9"/>
      <c r="AD14" s="51" t="n">
        <f aca="false">AD164</f>
        <v>0</v>
      </c>
      <c r="AF14" s="50" t="s">
        <v>44</v>
      </c>
      <c r="AG14" s="9"/>
      <c r="AH14" s="9"/>
      <c r="AI14" s="51" t="n">
        <f aca="false">AI164</f>
        <v>0</v>
      </c>
    </row>
    <row r="15" customFormat="false" ht="14.25" hidden="false" customHeight="true" outlineLevel="0" collapsed="false">
      <c r="G15" s="50" t="s">
        <v>49</v>
      </c>
      <c r="H15" s="9"/>
      <c r="I15" s="9"/>
      <c r="J15" s="51" t="n">
        <f aca="false">J168</f>
        <v>0</v>
      </c>
      <c r="L15" s="50" t="s">
        <v>49</v>
      </c>
      <c r="M15" s="9"/>
      <c r="N15" s="9"/>
      <c r="O15" s="51" t="n">
        <f aca="false">O168</f>
        <v>0</v>
      </c>
      <c r="Q15" s="50" t="s">
        <v>49</v>
      </c>
      <c r="R15" s="9"/>
      <c r="S15" s="9"/>
      <c r="T15" s="51" t="n">
        <f aca="false">T168</f>
        <v>0</v>
      </c>
      <c r="V15" s="50" t="s">
        <v>49</v>
      </c>
      <c r="W15" s="9"/>
      <c r="X15" s="9"/>
      <c r="Y15" s="51" t="n">
        <f aca="false">Y168</f>
        <v>0</v>
      </c>
      <c r="AA15" s="50" t="s">
        <v>49</v>
      </c>
      <c r="AB15" s="9"/>
      <c r="AC15" s="9"/>
      <c r="AD15" s="51" t="n">
        <f aca="false">AD168</f>
        <v>0</v>
      </c>
      <c r="AF15" s="50" t="s">
        <v>49</v>
      </c>
      <c r="AG15" s="9"/>
      <c r="AH15" s="9"/>
      <c r="AI15" s="51" t="n">
        <f aca="false">AI168</f>
        <v>0</v>
      </c>
    </row>
    <row r="16" customFormat="false" ht="14.25" hidden="false" customHeight="true" outlineLevel="0" collapsed="false">
      <c r="G16" s="9"/>
      <c r="H16" s="9"/>
      <c r="I16" s="9"/>
      <c r="J16" s="9"/>
      <c r="L16" s="9"/>
      <c r="M16" s="9"/>
      <c r="N16" s="9"/>
      <c r="O16" s="9"/>
      <c r="Q16" s="9"/>
      <c r="R16" s="9"/>
      <c r="S16" s="9"/>
      <c r="T16" s="9"/>
      <c r="V16" s="9"/>
      <c r="W16" s="9"/>
      <c r="X16" s="9"/>
      <c r="Y16" s="9"/>
      <c r="AA16" s="9"/>
      <c r="AB16" s="9"/>
      <c r="AC16" s="9"/>
      <c r="AD16" s="9"/>
      <c r="AF16" s="9"/>
      <c r="AG16" s="9"/>
      <c r="AH16" s="9"/>
      <c r="AI16" s="9"/>
    </row>
    <row r="20" customFormat="false" ht="14.25" hidden="false" customHeight="true" outlineLevel="0" collapsed="false">
      <c r="A20" s="6"/>
      <c r="B20" s="7" t="s">
        <v>4</v>
      </c>
      <c r="C20" s="7" t="s">
        <v>5</v>
      </c>
      <c r="D20" s="7"/>
      <c r="E20" s="7"/>
      <c r="F20" s="7"/>
      <c r="H20" s="6"/>
      <c r="I20" s="6"/>
      <c r="M20" s="6"/>
      <c r="N20" s="6"/>
      <c r="R20" s="6"/>
      <c r="S20" s="6"/>
      <c r="W20" s="6"/>
      <c r="X20" s="6"/>
      <c r="AB20" s="6"/>
      <c r="AC20" s="6"/>
      <c r="AG20" s="6"/>
      <c r="AH20" s="6"/>
    </row>
    <row r="21" customFormat="false" ht="14.25" hidden="false" customHeight="true" outlineLevel="0" collapsed="false">
      <c r="A21" s="6" t="n">
        <v>1</v>
      </c>
      <c r="B21" s="6" t="s">
        <v>8</v>
      </c>
      <c r="C21" s="52" t="str">
        <f aca="false">IF(Summary!L4="","",Summary!L4)</f>
        <v/>
      </c>
      <c r="D21" s="52" t="str">
        <f aca="false">IF(Summary!M4="","",Summary!M4)</f>
        <v/>
      </c>
      <c r="E21" s="14" t="str">
        <f aca="false">IF(OR(D21="",C21=""),"",IF(C21&gt;D21,"I",IF(C21=D21,"X","II")))</f>
        <v/>
      </c>
      <c r="F21" s="6"/>
      <c r="G21" s="53" t="n">
        <f aca="false">001_MikiZiso3!$F7</f>
        <v>1</v>
      </c>
      <c r="H21" s="53" t="n">
        <f aca="false">001_MikiZiso3!$G7</f>
        <v>0</v>
      </c>
      <c r="I21" s="54" t="str">
        <f aca="false">IF(OR(H21="",G21=""),"",IF(G21&gt;H21,"I",IF(G21=H21,"X","II")))</f>
        <v>I</v>
      </c>
      <c r="J21" s="53" t="str">
        <f aca="false">IF($E21="","",IF(I21=$E21,$E$175,0)+IF(AND($C21=G21,$D21=H21),$E$176,0))</f>
        <v/>
      </c>
      <c r="L21" s="53" t="n">
        <f aca="false">002_MikiZiso2!$F7</f>
        <v>1</v>
      </c>
      <c r="M21" s="53" t="n">
        <f aca="false">002_MikiZiso2!$G7</f>
        <v>0</v>
      </c>
      <c r="N21" s="54" t="str">
        <f aca="false">IF(OR(M21="",L21=""),"",IF(L21&gt;M21,"I",IF(L21=M21,"X","II")))</f>
        <v>I</v>
      </c>
      <c r="O21" s="53" t="str">
        <f aca="false">IF($E21="","",IF(N21=$E21,$E$175,0)+IF(AND($C21=L21,$D21=M21),$E$176,0))</f>
        <v/>
      </c>
      <c r="Q21" s="53" t="n">
        <f aca="false">003_Miki_Ziso!$F7</f>
        <v>1</v>
      </c>
      <c r="R21" s="53" t="n">
        <f aca="false">003_Miki_Ziso!$G7</f>
        <v>0</v>
      </c>
      <c r="S21" s="54" t="str">
        <f aca="false">IF(OR(R21="",Q21=""),"",IF(Q21&gt;R21,"I",IF(Q21=R21,"X","II")))</f>
        <v>I</v>
      </c>
      <c r="T21" s="53" t="str">
        <f aca="false">IF($E21="","",IF(S21=$E21,$E$175,0)+IF(AND($C21=Q21,$D21=R21),$E$176,0))</f>
        <v/>
      </c>
      <c r="V21" s="53" t="n">
        <f aca="false">004_Nir1!$F7</f>
        <v>1</v>
      </c>
      <c r="W21" s="53" t="n">
        <f aca="false">004_Nir1!$G7</f>
        <v>2</v>
      </c>
      <c r="X21" s="54" t="str">
        <f aca="false">IF(OR(W21="",V21=""),"",IF(V21&gt;W21,"I",IF(V21=W21,"X","II")))</f>
        <v>II</v>
      </c>
      <c r="Y21" s="53" t="str">
        <f aca="false">IF($E21="","",IF(X21=$E21,$E$175,0)+IF(AND($C21=V21,$D21=W21),$E$176,0))</f>
        <v/>
      </c>
      <c r="AA21" s="53" t="n">
        <f aca="false">005_Nir2!$F7</f>
        <v>0</v>
      </c>
      <c r="AB21" s="53" t="n">
        <f aca="false">005_Nir2!$G7</f>
        <v>1</v>
      </c>
      <c r="AC21" s="54" t="str">
        <f aca="false">IF(OR(AB21="",AA21=""),"",IF(AA21&gt;AB21,"I",IF(AA21=AB21,"X","II")))</f>
        <v>II</v>
      </c>
      <c r="AD21" s="53" t="str">
        <f aca="false">IF($E21="","",IF(AC21=$E21,$E$175,0)+IF(AND($C21=AA21,$D21=AB21),$E$176,0))</f>
        <v/>
      </c>
      <c r="AF21" s="53" t="n">
        <f aca="false">006_Nir3!$F7</f>
        <v>2</v>
      </c>
      <c r="AG21" s="53" t="n">
        <f aca="false">006_Nir3!$G7</f>
        <v>0</v>
      </c>
      <c r="AH21" s="54" t="str">
        <f aca="false">IF(OR(AG21="",AF21=""),"",IF(AF21&gt;AG21,"I",IF(AF21=AG21,"X","II")))</f>
        <v>I</v>
      </c>
      <c r="AI21" s="53" t="str">
        <f aca="false">IF($E21="","",IF(AH21=$E21,$E$175,0)+IF(AND($C21=AF21,$D21=AG21),$E$176,0))</f>
        <v/>
      </c>
    </row>
    <row r="22" customFormat="false" ht="14.25" hidden="false" customHeight="true" outlineLevel="0" collapsed="false">
      <c r="A22" s="6" t="n">
        <v>2</v>
      </c>
      <c r="B22" s="6" t="s">
        <v>9</v>
      </c>
      <c r="C22" s="52" t="str">
        <f aca="false">IF(Summary!L5="","",Summary!L5)</f>
        <v/>
      </c>
      <c r="D22" s="52" t="str">
        <f aca="false">IF(Summary!M5="","",Summary!M5)</f>
        <v/>
      </c>
      <c r="E22" s="14" t="str">
        <f aca="false">IF(OR(D22="",C22=""),"",IF(C22&gt;D22,"I",IF(C22=D22,"X","II")))</f>
        <v/>
      </c>
      <c r="F22" s="6"/>
      <c r="G22" s="53" t="n">
        <f aca="false">001_MikiZiso3!$F8</f>
        <v>2</v>
      </c>
      <c r="H22" s="53" t="n">
        <f aca="false">001_MikiZiso3!$G8</f>
        <v>1</v>
      </c>
      <c r="I22" s="54" t="str">
        <f aca="false">IF(OR(H22="",G22=""),"",IF(G22&gt;H22,"I",IF(G22=H22,"X","II")))</f>
        <v>I</v>
      </c>
      <c r="J22" s="53" t="str">
        <f aca="false">IF($E22="","",IF(I22=$E22,$E$175,0)+IF(AND($C22=G22,$D22=H22),$E$176,0))</f>
        <v/>
      </c>
      <c r="L22" s="53" t="n">
        <f aca="false">002_MikiZiso2!$F8</f>
        <v>0</v>
      </c>
      <c r="M22" s="53" t="n">
        <f aca="false">002_MikiZiso2!$G8</f>
        <v>1</v>
      </c>
      <c r="N22" s="54" t="str">
        <f aca="false">IF(OR(M22="",L22=""),"",IF(L22&gt;M22,"I",IF(L22=M22,"X","II")))</f>
        <v>II</v>
      </c>
      <c r="O22" s="53" t="str">
        <f aca="false">IF($E22="","",IF(N22=$E22,$E$175,0)+IF(AND($C22=L22,$D22=M22),$E$176,0))</f>
        <v/>
      </c>
      <c r="Q22" s="53" t="n">
        <f aca="false">003_Miki_Ziso!$F8</f>
        <v>0</v>
      </c>
      <c r="R22" s="53" t="n">
        <f aca="false">003_Miki_Ziso!$G8</f>
        <v>1</v>
      </c>
      <c r="S22" s="54" t="str">
        <f aca="false">IF(OR(R22="",Q22=""),"",IF(Q22&gt;R22,"I",IF(Q22=R22,"X","II")))</f>
        <v>II</v>
      </c>
      <c r="T22" s="53" t="str">
        <f aca="false">IF($E22="","",IF(S22=$E22,$E$175,0)+IF(AND($C22=Q22,$D22=R22),$E$176,0))</f>
        <v/>
      </c>
      <c r="V22" s="53" t="n">
        <f aca="false">004_Nir1!$F8</f>
        <v>0</v>
      </c>
      <c r="W22" s="53" t="n">
        <f aca="false">004_Nir1!$G8</f>
        <v>1</v>
      </c>
      <c r="X22" s="54" t="str">
        <f aca="false">IF(OR(W22="",V22=""),"",IF(V22&gt;W22,"I",IF(V22=W22,"X","II")))</f>
        <v>II</v>
      </c>
      <c r="Y22" s="53" t="str">
        <f aca="false">IF($E22="","",IF(X22=$E22,$E$175,0)+IF(AND($C22=V22,$D22=W22),$E$176,0))</f>
        <v/>
      </c>
      <c r="AA22" s="53" t="n">
        <f aca="false">005_Nir2!$F8</f>
        <v>0</v>
      </c>
      <c r="AB22" s="53" t="n">
        <f aca="false">005_Nir2!$G8</f>
        <v>1</v>
      </c>
      <c r="AC22" s="54" t="str">
        <f aca="false">IF(OR(AB22="",AA22=""),"",IF(AA22&gt;AB22,"I",IF(AA22=AB22,"X","II")))</f>
        <v>II</v>
      </c>
      <c r="AD22" s="53" t="str">
        <f aca="false">IF($E22="","",IF(AC22=$E22,$E$175,0)+IF(AND($C22=AA22,$D22=AB22),$E$176,0))</f>
        <v/>
      </c>
      <c r="AF22" s="53" t="n">
        <f aca="false">006_Nir3!$F8</f>
        <v>2</v>
      </c>
      <c r="AG22" s="53" t="n">
        <f aca="false">006_Nir3!$G8</f>
        <v>2</v>
      </c>
      <c r="AH22" s="54" t="str">
        <f aca="false">IF(OR(AG22="",AF22=""),"",IF(AF22&gt;AG22,"I",IF(AF22=AG22,"X","II")))</f>
        <v>X</v>
      </c>
      <c r="AI22" s="53" t="str">
        <f aca="false">IF($E22="","",IF(AH22=$E22,$E$175,0)+IF(AND($C22=AF22,$D22=AG22),$E$176,0))</f>
        <v/>
      </c>
    </row>
    <row r="23" customFormat="false" ht="14.25" hidden="false" customHeight="true" outlineLevel="0" collapsed="false">
      <c r="A23" s="6" t="n">
        <v>3</v>
      </c>
      <c r="B23" s="6" t="s">
        <v>10</v>
      </c>
      <c r="C23" s="52" t="str">
        <f aca="false">IF(Summary!L6="","",Summary!L6)</f>
        <v/>
      </c>
      <c r="D23" s="52" t="str">
        <f aca="false">IF(Summary!M6="","",Summary!M6)</f>
        <v/>
      </c>
      <c r="E23" s="14" t="str">
        <f aca="false">IF(OR(D23="",C23=""),"",IF(C23&gt;D23,"I",IF(C23=D23,"X","II")))</f>
        <v/>
      </c>
      <c r="F23" s="6"/>
      <c r="G23" s="53" t="n">
        <f aca="false">001_MikiZiso3!$F9</f>
        <v>2</v>
      </c>
      <c r="H23" s="53" t="n">
        <f aca="false">001_MikiZiso3!$G9</f>
        <v>1</v>
      </c>
      <c r="I23" s="54" t="str">
        <f aca="false">IF(OR(H23="",G23=""),"",IF(G23&gt;H23,"I",IF(G23=H23,"X","II")))</f>
        <v>I</v>
      </c>
      <c r="J23" s="53" t="str">
        <f aca="false">IF($E23="","",IF(I23=$E23,$E$175,0)+IF(AND($C23=G23,$D23=H23),$E$176,0))</f>
        <v/>
      </c>
      <c r="L23" s="53" t="n">
        <f aca="false">002_MikiZiso2!$F9</f>
        <v>2</v>
      </c>
      <c r="M23" s="53" t="n">
        <f aca="false">002_MikiZiso2!$G9</f>
        <v>1</v>
      </c>
      <c r="N23" s="54" t="str">
        <f aca="false">IF(OR(M23="",L23=""),"",IF(L23&gt;M23,"I",IF(L23=M23,"X","II")))</f>
        <v>I</v>
      </c>
      <c r="O23" s="53" t="str">
        <f aca="false">IF($E23="","",IF(N23=$E23,$E$175,0)+IF(AND($C23=L23,$D23=M23),$E$176,0))</f>
        <v/>
      </c>
      <c r="Q23" s="53" t="n">
        <f aca="false">003_Miki_Ziso!$F9</f>
        <v>2</v>
      </c>
      <c r="R23" s="53" t="n">
        <f aca="false">003_Miki_Ziso!$G9</f>
        <v>1</v>
      </c>
      <c r="S23" s="54" t="str">
        <f aca="false">IF(OR(R23="",Q23=""),"",IF(Q23&gt;R23,"I",IF(Q23=R23,"X","II")))</f>
        <v>I</v>
      </c>
      <c r="T23" s="53" t="str">
        <f aca="false">IF($E23="","",IF(S23=$E23,$E$175,0)+IF(AND($C23=Q23,$D23=R23),$E$176,0))</f>
        <v/>
      </c>
      <c r="V23" s="53" t="n">
        <f aca="false">004_Nir1!$F9</f>
        <v>0</v>
      </c>
      <c r="W23" s="53" t="n">
        <f aca="false">004_Nir1!$G9</f>
        <v>0</v>
      </c>
      <c r="X23" s="54" t="str">
        <f aca="false">IF(OR(W23="",V23=""),"",IF(V23&gt;W23,"I",IF(V23=W23,"X","II")))</f>
        <v>X</v>
      </c>
      <c r="Y23" s="53" t="str">
        <f aca="false">IF($E23="","",IF(X23=$E23,$E$175,0)+IF(AND($C23=V23,$D23=W23),$E$176,0))</f>
        <v/>
      </c>
      <c r="AA23" s="53" t="n">
        <f aca="false">005_Nir2!$F9</f>
        <v>0</v>
      </c>
      <c r="AB23" s="53" t="n">
        <f aca="false">005_Nir2!$G9</f>
        <v>1</v>
      </c>
      <c r="AC23" s="54" t="str">
        <f aca="false">IF(OR(AB23="",AA23=""),"",IF(AA23&gt;AB23,"I",IF(AA23=AB23,"X","II")))</f>
        <v>II</v>
      </c>
      <c r="AD23" s="53" t="str">
        <f aca="false">IF($E23="","",IF(AC23=$E23,$E$175,0)+IF(AND($C23=AA23,$D23=AB23),$E$176,0))</f>
        <v/>
      </c>
      <c r="AF23" s="53" t="n">
        <f aca="false">006_Nir3!$F9</f>
        <v>2</v>
      </c>
      <c r="AG23" s="53" t="n">
        <f aca="false">006_Nir3!$G9</f>
        <v>1</v>
      </c>
      <c r="AH23" s="54" t="str">
        <f aca="false">IF(OR(AG23="",AF23=""),"",IF(AF23&gt;AG23,"I",IF(AF23=AG23,"X","II")))</f>
        <v>I</v>
      </c>
      <c r="AI23" s="53" t="str">
        <f aca="false">IF($E23="","",IF(AH23=$E23,$E$175,0)+IF(AND($C23=AF23,$D23=AG23),$E$176,0))</f>
        <v/>
      </c>
    </row>
    <row r="24" customFormat="false" ht="14.25" hidden="false" customHeight="true" outlineLevel="0" collapsed="false">
      <c r="A24" s="6" t="n">
        <v>4</v>
      </c>
      <c r="B24" s="6" t="s">
        <v>11</v>
      </c>
      <c r="C24" s="52" t="str">
        <f aca="false">IF(Summary!L7="","",Summary!L7)</f>
        <v/>
      </c>
      <c r="D24" s="52" t="str">
        <f aca="false">IF(Summary!M7="","",Summary!M7)</f>
        <v/>
      </c>
      <c r="E24" s="14" t="str">
        <f aca="false">IF(OR(D24="",C24=""),"",IF(C24&gt;D24,"I",IF(C24=D24,"X","II")))</f>
        <v/>
      </c>
      <c r="F24" s="6"/>
      <c r="G24" s="53" t="n">
        <f aca="false">001_MikiZiso3!$F10</f>
        <v>2</v>
      </c>
      <c r="H24" s="53" t="n">
        <f aca="false">001_MikiZiso3!$G10</f>
        <v>0</v>
      </c>
      <c r="I24" s="54" t="str">
        <f aca="false">IF(OR(H24="",G24=""),"",IF(G24&gt;H24,"I",IF(G24=H24,"X","II")))</f>
        <v>I</v>
      </c>
      <c r="J24" s="53" t="str">
        <f aca="false">IF($E24="","",IF(I24=$E24,$E$175,0)+IF(AND($C24=G24,$D24=H24),$E$176,0))</f>
        <v/>
      </c>
      <c r="L24" s="53" t="n">
        <f aca="false">002_MikiZiso2!$F10</f>
        <v>2</v>
      </c>
      <c r="M24" s="53" t="n">
        <f aca="false">002_MikiZiso2!$G10</f>
        <v>0</v>
      </c>
      <c r="N24" s="54" t="str">
        <f aca="false">IF(OR(M24="",L24=""),"",IF(L24&gt;M24,"I",IF(L24=M24,"X","II")))</f>
        <v>I</v>
      </c>
      <c r="O24" s="53" t="str">
        <f aca="false">IF($E24="","",IF(N24=$E24,$E$175,0)+IF(AND($C24=L24,$D24=M24),$E$176,0))</f>
        <v/>
      </c>
      <c r="Q24" s="53" t="n">
        <f aca="false">003_Miki_Ziso!$F10</f>
        <v>0</v>
      </c>
      <c r="R24" s="53" t="n">
        <f aca="false">003_Miki_Ziso!$G10</f>
        <v>2</v>
      </c>
      <c r="S24" s="54" t="str">
        <f aca="false">IF(OR(R24="",Q24=""),"",IF(Q24&gt;R24,"I",IF(Q24=R24,"X","II")))</f>
        <v>II</v>
      </c>
      <c r="T24" s="53" t="str">
        <f aca="false">IF($E24="","",IF(S24=$E24,$E$175,0)+IF(AND($C24=Q24,$D24=R24),$E$176,0))</f>
        <v/>
      </c>
      <c r="V24" s="53" t="n">
        <f aca="false">004_Nir1!$F10</f>
        <v>0</v>
      </c>
      <c r="W24" s="53" t="n">
        <f aca="false">004_Nir1!$G10</f>
        <v>1</v>
      </c>
      <c r="X24" s="54" t="str">
        <f aca="false">IF(OR(W24="",V24=""),"",IF(V24&gt;W24,"I",IF(V24=W24,"X","II")))</f>
        <v>II</v>
      </c>
      <c r="Y24" s="53" t="str">
        <f aca="false">IF($E24="","",IF(X24=$E24,$E$175,0)+IF(AND($C24=V24,$D24=W24),$E$176,0))</f>
        <v/>
      </c>
      <c r="AA24" s="53" t="n">
        <f aca="false">005_Nir2!$F10</f>
        <v>2</v>
      </c>
      <c r="AB24" s="53" t="n">
        <f aca="false">005_Nir2!$G10</f>
        <v>1</v>
      </c>
      <c r="AC24" s="54" t="str">
        <f aca="false">IF(OR(AB24="",AA24=""),"",IF(AA24&gt;AB24,"I",IF(AA24=AB24,"X","II")))</f>
        <v>I</v>
      </c>
      <c r="AD24" s="53" t="str">
        <f aca="false">IF($E24="","",IF(AC24=$E24,$E$175,0)+IF(AND($C24=AA24,$D24=AB24),$E$176,0))</f>
        <v/>
      </c>
      <c r="AF24" s="53" t="n">
        <f aca="false">006_Nir3!$F10</f>
        <v>2</v>
      </c>
      <c r="AG24" s="53" t="n">
        <f aca="false">006_Nir3!$G10</f>
        <v>3</v>
      </c>
      <c r="AH24" s="54" t="str">
        <f aca="false">IF(OR(AG24="",AF24=""),"",IF(AF24&gt;AG24,"I",IF(AF24=AG24,"X","II")))</f>
        <v>II</v>
      </c>
      <c r="AI24" s="53" t="str">
        <f aca="false">IF($E24="","",IF(AH24=$E24,$E$175,0)+IF(AND($C24=AF24,$D24=AG24),$E$176,0))</f>
        <v/>
      </c>
    </row>
    <row r="25" customFormat="false" ht="14.25" hidden="false" customHeight="true" outlineLevel="0" collapsed="false">
      <c r="A25" s="6" t="n">
        <v>5</v>
      </c>
      <c r="B25" s="6" t="s">
        <v>12</v>
      </c>
      <c r="C25" s="52" t="str">
        <f aca="false">IF(Summary!L8="","",Summary!L8)</f>
        <v/>
      </c>
      <c r="D25" s="52" t="str">
        <f aca="false">IF(Summary!M8="","",Summary!M8)</f>
        <v/>
      </c>
      <c r="E25" s="14" t="str">
        <f aca="false">IF(OR(D25="",C25=""),"",IF(C25&gt;D25,"I",IF(C25=D25,"X","II")))</f>
        <v/>
      </c>
      <c r="F25" s="6"/>
      <c r="G25" s="53" t="n">
        <f aca="false">001_MikiZiso3!$F11</f>
        <v>0</v>
      </c>
      <c r="H25" s="53" t="n">
        <f aca="false">001_MikiZiso3!$G11</f>
        <v>2</v>
      </c>
      <c r="I25" s="54" t="str">
        <f aca="false">IF(OR(H25="",G25=""),"",IF(G25&gt;H25,"I",IF(G25=H25,"X","II")))</f>
        <v>II</v>
      </c>
      <c r="J25" s="53" t="str">
        <f aca="false">IF($E25="","",IF(I25=$E25,$E$175,0)+IF(AND($C25=G25,$D25=H25),$E$176,0))</f>
        <v/>
      </c>
      <c r="L25" s="53" t="n">
        <f aca="false">002_MikiZiso2!$F11</f>
        <v>0</v>
      </c>
      <c r="M25" s="53" t="n">
        <f aca="false">002_MikiZiso2!$G11</f>
        <v>2</v>
      </c>
      <c r="N25" s="54" t="str">
        <f aca="false">IF(OR(M25="",L25=""),"",IF(L25&gt;M25,"I",IF(L25=M25,"X","II")))</f>
        <v>II</v>
      </c>
      <c r="O25" s="53" t="str">
        <f aca="false">IF($E25="","",IF(N25=$E25,$E$175,0)+IF(AND($C25=L25,$D25=M25),$E$176,0))</f>
        <v/>
      </c>
      <c r="Q25" s="53" t="n">
        <f aca="false">003_Miki_Ziso!$F11</f>
        <v>0</v>
      </c>
      <c r="R25" s="53" t="n">
        <f aca="false">003_Miki_Ziso!$G11</f>
        <v>2</v>
      </c>
      <c r="S25" s="54" t="str">
        <f aca="false">IF(OR(R25="",Q25=""),"",IF(Q25&gt;R25,"I",IF(Q25=R25,"X","II")))</f>
        <v>II</v>
      </c>
      <c r="T25" s="53" t="str">
        <f aca="false">IF($E25="","",IF(S25=$E25,$E$175,0)+IF(AND($C25=Q25,$D25=R25),$E$176,0))</f>
        <v/>
      </c>
      <c r="V25" s="53" t="n">
        <f aca="false">004_Nir1!$F11</f>
        <v>0</v>
      </c>
      <c r="W25" s="53" t="n">
        <f aca="false">004_Nir1!$G11</f>
        <v>2</v>
      </c>
      <c r="X25" s="54" t="str">
        <f aca="false">IF(OR(W25="",V25=""),"",IF(V25&gt;W25,"I",IF(V25=W25,"X","II")))</f>
        <v>II</v>
      </c>
      <c r="Y25" s="53" t="str">
        <f aca="false">IF($E25="","",IF(X25=$E25,$E$175,0)+IF(AND($C25=V25,$D25=W25),$E$176,0))</f>
        <v/>
      </c>
      <c r="AA25" s="53" t="n">
        <f aca="false">005_Nir2!$F11</f>
        <v>1</v>
      </c>
      <c r="AB25" s="53" t="n">
        <f aca="false">005_Nir2!$G11</f>
        <v>2</v>
      </c>
      <c r="AC25" s="54" t="str">
        <f aca="false">IF(OR(AB25="",AA25=""),"",IF(AA25&gt;AB25,"I",IF(AA25=AB25,"X","II")))</f>
        <v>II</v>
      </c>
      <c r="AD25" s="53" t="str">
        <f aca="false">IF($E25="","",IF(AC25=$E25,$E$175,0)+IF(AND($C25=AA25,$D25=AB25),$E$176,0))</f>
        <v/>
      </c>
      <c r="AF25" s="53" t="n">
        <f aca="false">006_Nir3!$F11</f>
        <v>1</v>
      </c>
      <c r="AG25" s="53" t="n">
        <f aca="false">006_Nir3!$G11</f>
        <v>2</v>
      </c>
      <c r="AH25" s="54" t="str">
        <f aca="false">IF(OR(AG25="",AF25=""),"",IF(AF25&gt;AG25,"I",IF(AF25=AG25,"X","II")))</f>
        <v>II</v>
      </c>
      <c r="AI25" s="53" t="str">
        <f aca="false">IF($E25="","",IF(AH25=$E25,$E$175,0)+IF(AND($C25=AF25,$D25=AG25),$E$176,0))</f>
        <v/>
      </c>
    </row>
    <row r="26" customFormat="false" ht="14.25" hidden="false" customHeight="true" outlineLevel="0" collapsed="false">
      <c r="A26" s="6" t="n">
        <v>6</v>
      </c>
      <c r="B26" s="6" t="s">
        <v>13</v>
      </c>
      <c r="C26" s="52" t="str">
        <f aca="false">IF(Summary!L9="","",Summary!L9)</f>
        <v/>
      </c>
      <c r="D26" s="52" t="str">
        <f aca="false">IF(Summary!M9="","",Summary!M9)</f>
        <v/>
      </c>
      <c r="E26" s="14" t="str">
        <f aca="false">IF(OR(D26="",C26=""),"",IF(C26&gt;D26,"I",IF(C26=D26,"X","II")))</f>
        <v/>
      </c>
      <c r="F26" s="6"/>
      <c r="G26" s="53" t="n">
        <f aca="false">001_MikiZiso3!$F12</f>
        <v>0</v>
      </c>
      <c r="H26" s="53" t="n">
        <f aca="false">001_MikiZiso3!$G12</f>
        <v>2</v>
      </c>
      <c r="I26" s="54" t="str">
        <f aca="false">IF(OR(H26="",G26=""),"",IF(G26&gt;H26,"I",IF(G26=H26,"X","II")))</f>
        <v>II</v>
      </c>
      <c r="J26" s="53" t="str">
        <f aca="false">IF($E26="","",IF(I26=$E26,$E$175,0)+IF(AND($C26=G26,$D26=H26),$E$176,0))</f>
        <v/>
      </c>
      <c r="L26" s="53" t="n">
        <f aca="false">002_MikiZiso2!$F12</f>
        <v>0</v>
      </c>
      <c r="M26" s="53" t="n">
        <f aca="false">002_MikiZiso2!$G12</f>
        <v>2</v>
      </c>
      <c r="N26" s="54" t="str">
        <f aca="false">IF(OR(M26="",L26=""),"",IF(L26&gt;M26,"I",IF(L26=M26,"X","II")))</f>
        <v>II</v>
      </c>
      <c r="O26" s="53" t="str">
        <f aca="false">IF($E26="","",IF(N26=$E26,$E$175,0)+IF(AND($C26=L26,$D26=M26),$E$176,0))</f>
        <v/>
      </c>
      <c r="Q26" s="53" t="n">
        <f aca="false">003_Miki_Ziso!$F12</f>
        <v>0</v>
      </c>
      <c r="R26" s="53" t="n">
        <f aca="false">003_Miki_Ziso!$G12</f>
        <v>2</v>
      </c>
      <c r="S26" s="54" t="str">
        <f aca="false">IF(OR(R26="",Q26=""),"",IF(Q26&gt;R26,"I",IF(Q26=R26,"X","II")))</f>
        <v>II</v>
      </c>
      <c r="T26" s="53" t="str">
        <f aca="false">IF($E26="","",IF(S26=$E26,$E$175,0)+IF(AND($C26=Q26,$D26=R26),$E$176,0))</f>
        <v/>
      </c>
      <c r="V26" s="53" t="n">
        <f aca="false">004_Nir1!$F12</f>
        <v>1</v>
      </c>
      <c r="W26" s="53" t="n">
        <f aca="false">004_Nir1!$G12</f>
        <v>0</v>
      </c>
      <c r="X26" s="54" t="str">
        <f aca="false">IF(OR(W26="",V26=""),"",IF(V26&gt;W26,"I",IF(V26=W26,"X","II")))</f>
        <v>I</v>
      </c>
      <c r="Y26" s="53" t="str">
        <f aca="false">IF($E26="","",IF(X26=$E26,$E$175,0)+IF(AND($C26=V26,$D26=W26),$E$176,0))</f>
        <v/>
      </c>
      <c r="AA26" s="53" t="n">
        <f aca="false">005_Nir2!$F12</f>
        <v>3</v>
      </c>
      <c r="AB26" s="53" t="n">
        <f aca="false">005_Nir2!$G12</f>
        <v>2</v>
      </c>
      <c r="AC26" s="54" t="str">
        <f aca="false">IF(OR(AB26="",AA26=""),"",IF(AA26&gt;AB26,"I",IF(AA26=AB26,"X","II")))</f>
        <v>I</v>
      </c>
      <c r="AD26" s="53" t="str">
        <f aca="false">IF($E26="","",IF(AC26=$E26,$E$175,0)+IF(AND($C26=AA26,$D26=AB26),$E$176,0))</f>
        <v/>
      </c>
      <c r="AF26" s="53" t="n">
        <f aca="false">006_Nir3!$F12</f>
        <v>1</v>
      </c>
      <c r="AG26" s="53" t="n">
        <f aca="false">006_Nir3!$G12</f>
        <v>1</v>
      </c>
      <c r="AH26" s="54" t="str">
        <f aca="false">IF(OR(AG26="",AF26=""),"",IF(AF26&gt;AG26,"I",IF(AF26=AG26,"X","II")))</f>
        <v>X</v>
      </c>
      <c r="AI26" s="53" t="str">
        <f aca="false">IF($E26="","",IF(AH26=$E26,$E$175,0)+IF(AND($C26=AF26,$D26=AG26),$E$176,0))</f>
        <v/>
      </c>
    </row>
    <row r="27" customFormat="false" ht="14.25" hidden="false" customHeight="true" outlineLevel="0" collapsed="false">
      <c r="A27" s="6" t="n">
        <v>7</v>
      </c>
      <c r="B27" s="6" t="s">
        <v>14</v>
      </c>
      <c r="C27" s="52" t="str">
        <f aca="false">IF(Summary!L10="","",Summary!L10)</f>
        <v/>
      </c>
      <c r="D27" s="52" t="str">
        <f aca="false">IF(Summary!M10="","",Summary!M10)</f>
        <v/>
      </c>
      <c r="E27" s="14" t="str">
        <f aca="false">IF(OR(D27="",C27=""),"",IF(C27&gt;D27,"I",IF(C27=D27,"X","II")))</f>
        <v/>
      </c>
      <c r="F27" s="6"/>
      <c r="G27" s="53" t="n">
        <f aca="false">001_MikiZiso3!$F13</f>
        <v>2</v>
      </c>
      <c r="H27" s="53" t="n">
        <f aca="false">001_MikiZiso3!$G13</f>
        <v>1</v>
      </c>
      <c r="I27" s="54" t="str">
        <f aca="false">IF(OR(H27="",G27=""),"",IF(G27&gt;H27,"I",IF(G27=H27,"X","II")))</f>
        <v>I</v>
      </c>
      <c r="J27" s="53" t="str">
        <f aca="false">IF($E27="","",IF(I27=$E27,$E$175,0)+IF(AND($C27=G27,$D27=H27),$E$176,0))</f>
        <v/>
      </c>
      <c r="L27" s="53" t="n">
        <f aca="false">002_MikiZiso2!$F13</f>
        <v>0</v>
      </c>
      <c r="M27" s="53" t="n">
        <f aca="false">002_MikiZiso2!$G13</f>
        <v>1</v>
      </c>
      <c r="N27" s="54" t="str">
        <f aca="false">IF(OR(M27="",L27=""),"",IF(L27&gt;M27,"I",IF(L27=M27,"X","II")))</f>
        <v>II</v>
      </c>
      <c r="O27" s="53" t="str">
        <f aca="false">IF($E27="","",IF(N27=$E27,$E$175,0)+IF(AND($C27=L27,$D27=M27),$E$176,0))</f>
        <v/>
      </c>
      <c r="Q27" s="53" t="n">
        <f aca="false">003_Miki_Ziso!$F13</f>
        <v>0</v>
      </c>
      <c r="R27" s="53" t="n">
        <f aca="false">003_Miki_Ziso!$G13</f>
        <v>1</v>
      </c>
      <c r="S27" s="54" t="str">
        <f aca="false">IF(OR(R27="",Q27=""),"",IF(Q27&gt;R27,"I",IF(Q27=R27,"X","II")))</f>
        <v>II</v>
      </c>
      <c r="T27" s="53" t="str">
        <f aca="false">IF($E27="","",IF(S27=$E27,$E$175,0)+IF(AND($C27=Q27,$D27=R27),$E$176,0))</f>
        <v/>
      </c>
      <c r="V27" s="53" t="n">
        <f aca="false">004_Nir1!$F13</f>
        <v>2</v>
      </c>
      <c r="W27" s="53" t="n">
        <f aca="false">004_Nir1!$G13</f>
        <v>0</v>
      </c>
      <c r="X27" s="54" t="str">
        <f aca="false">IF(OR(W27="",V27=""),"",IF(V27&gt;W27,"I",IF(V27=W27,"X","II")))</f>
        <v>I</v>
      </c>
      <c r="Y27" s="53" t="str">
        <f aca="false">IF($E27="","",IF(X27=$E27,$E$175,0)+IF(AND($C27=V27,$D27=W27),$E$176,0))</f>
        <v/>
      </c>
      <c r="AA27" s="53" t="n">
        <f aca="false">005_Nir2!$F13</f>
        <v>4</v>
      </c>
      <c r="AB27" s="53" t="n">
        <f aca="false">005_Nir2!$G13</f>
        <v>2</v>
      </c>
      <c r="AC27" s="54" t="str">
        <f aca="false">IF(OR(AB27="",AA27=""),"",IF(AA27&gt;AB27,"I",IF(AA27=AB27,"X","II")))</f>
        <v>I</v>
      </c>
      <c r="AD27" s="53" t="str">
        <f aca="false">IF($E27="","",IF(AC27=$E27,$E$175,0)+IF(AND($C27=AA27,$D27=AB27),$E$176,0))</f>
        <v/>
      </c>
      <c r="AF27" s="53" t="n">
        <f aca="false">006_Nir3!$F13</f>
        <v>1</v>
      </c>
      <c r="AG27" s="53" t="n">
        <f aca="false">006_Nir3!$G13</f>
        <v>0</v>
      </c>
      <c r="AH27" s="54" t="str">
        <f aca="false">IF(OR(AG27="",AF27=""),"",IF(AF27&gt;AG27,"I",IF(AF27=AG27,"X","II")))</f>
        <v>I</v>
      </c>
      <c r="AI27" s="53" t="str">
        <f aca="false">IF($E27="","",IF(AH27=$E27,$E$175,0)+IF(AND($C27=AF27,$D27=AG27),$E$176,0))</f>
        <v/>
      </c>
    </row>
    <row r="28" customFormat="false" ht="14.25" hidden="false" customHeight="true" outlineLevel="0" collapsed="false">
      <c r="A28" s="6" t="n">
        <v>8</v>
      </c>
      <c r="B28" s="6" t="s">
        <v>15</v>
      </c>
      <c r="C28" s="52" t="str">
        <f aca="false">IF(Summary!L11="","",Summary!L11)</f>
        <v/>
      </c>
      <c r="D28" s="52" t="str">
        <f aca="false">IF(Summary!M11="","",Summary!M11)</f>
        <v/>
      </c>
      <c r="E28" s="14" t="str">
        <f aca="false">IF(OR(D28="",C28=""),"",IF(C28&gt;D28,"I",IF(C28=D28,"X","II")))</f>
        <v/>
      </c>
      <c r="F28" s="6"/>
      <c r="G28" s="53" t="n">
        <f aca="false">001_MikiZiso3!$F14</f>
        <v>0</v>
      </c>
      <c r="H28" s="53" t="n">
        <f aca="false">001_MikiZiso3!$G14</f>
        <v>2</v>
      </c>
      <c r="I28" s="54" t="str">
        <f aca="false">IF(OR(H28="",G28=""),"",IF(G28&gt;H28,"I",IF(G28=H28,"X","II")))</f>
        <v>II</v>
      </c>
      <c r="J28" s="53" t="str">
        <f aca="false">IF($E28="","",IF(I28=$E28,$E$175,0)+IF(AND($C28=G28,$D28=H28),$E$176,0))</f>
        <v/>
      </c>
      <c r="L28" s="53" t="n">
        <f aca="false">002_MikiZiso2!$F14</f>
        <v>0</v>
      </c>
      <c r="M28" s="53" t="n">
        <f aca="false">002_MikiZiso2!$G14</f>
        <v>2</v>
      </c>
      <c r="N28" s="54" t="str">
        <f aca="false">IF(OR(M28="",L28=""),"",IF(L28&gt;M28,"I",IF(L28=M28,"X","II")))</f>
        <v>II</v>
      </c>
      <c r="O28" s="53" t="str">
        <f aca="false">IF($E28="","",IF(N28=$E28,$E$175,0)+IF(AND($C28=L28,$D28=M28),$E$176,0))</f>
        <v/>
      </c>
      <c r="Q28" s="53" t="n">
        <f aca="false">003_Miki_Ziso!$F14</f>
        <v>0</v>
      </c>
      <c r="R28" s="53" t="n">
        <f aca="false">003_Miki_Ziso!$G14</f>
        <v>2</v>
      </c>
      <c r="S28" s="54" t="str">
        <f aca="false">IF(OR(R28="",Q28=""),"",IF(Q28&gt;R28,"I",IF(Q28=R28,"X","II")))</f>
        <v>II</v>
      </c>
      <c r="T28" s="53" t="str">
        <f aca="false">IF($E28="","",IF(S28=$E28,$E$175,0)+IF(AND($C28=Q28,$D28=R28),$E$176,0))</f>
        <v/>
      </c>
      <c r="V28" s="53" t="n">
        <f aca="false">004_Nir1!$F14</f>
        <v>1</v>
      </c>
      <c r="W28" s="53" t="n">
        <f aca="false">004_Nir1!$G14</f>
        <v>2</v>
      </c>
      <c r="X28" s="54" t="str">
        <f aca="false">IF(OR(W28="",V28=""),"",IF(V28&gt;W28,"I",IF(V28=W28,"X","II")))</f>
        <v>II</v>
      </c>
      <c r="Y28" s="53" t="str">
        <f aca="false">IF($E28="","",IF(X28=$E28,$E$175,0)+IF(AND($C28=V28,$D28=W28),$E$176,0))</f>
        <v/>
      </c>
      <c r="AA28" s="53" t="n">
        <f aca="false">005_Nir2!$F14</f>
        <v>5</v>
      </c>
      <c r="AB28" s="53" t="n">
        <f aca="false">005_Nir2!$G14</f>
        <v>3</v>
      </c>
      <c r="AC28" s="54" t="str">
        <f aca="false">IF(OR(AB28="",AA28=""),"",IF(AA28&gt;AB28,"I",IF(AA28=AB28,"X","II")))</f>
        <v>I</v>
      </c>
      <c r="AD28" s="53" t="str">
        <f aca="false">IF($E28="","",IF(AC28=$E28,$E$175,0)+IF(AND($C28=AA28,$D28=AB28),$E$176,0))</f>
        <v/>
      </c>
      <c r="AF28" s="53" t="n">
        <f aca="false">006_Nir3!$F14</f>
        <v>2</v>
      </c>
      <c r="AG28" s="53" t="n">
        <f aca="false">006_Nir3!$G14</f>
        <v>0</v>
      </c>
      <c r="AH28" s="54" t="str">
        <f aca="false">IF(OR(AG28="",AF28=""),"",IF(AF28&gt;AG28,"I",IF(AF28=AG28,"X","II")))</f>
        <v>I</v>
      </c>
      <c r="AI28" s="53" t="str">
        <f aca="false">IF($E28="","",IF(AH28=$E28,$E$175,0)+IF(AND($C28=AF28,$D28=AG28),$E$176,0))</f>
        <v/>
      </c>
    </row>
    <row r="29" customFormat="false" ht="14.25" hidden="false" customHeight="true" outlineLevel="0" collapsed="false">
      <c r="A29" s="6" t="n">
        <v>9</v>
      </c>
      <c r="B29" s="6" t="s">
        <v>16</v>
      </c>
      <c r="C29" s="52" t="str">
        <f aca="false">IF(Summary!L12="","",Summary!L12)</f>
        <v/>
      </c>
      <c r="D29" s="52" t="str">
        <f aca="false">IF(Summary!M12="","",Summary!M12)</f>
        <v/>
      </c>
      <c r="E29" s="14" t="str">
        <f aca="false">IF(OR(D29="",C29=""),"",IF(C29&gt;D29,"I",IF(C29=D29,"X","II")))</f>
        <v/>
      </c>
      <c r="F29" s="6"/>
      <c r="G29" s="53" t="n">
        <f aca="false">001_MikiZiso3!$F15</f>
        <v>3</v>
      </c>
      <c r="H29" s="53" t="n">
        <f aca="false">001_MikiZiso3!$G15</f>
        <v>2</v>
      </c>
      <c r="I29" s="54" t="str">
        <f aca="false">IF(OR(H29="",G29=""),"",IF(G29&gt;H29,"I",IF(G29=H29,"X","II")))</f>
        <v>I</v>
      </c>
      <c r="J29" s="53" t="str">
        <f aca="false">IF($E29="","",IF(I29=$E29,$E$175,0)+IF(AND($C29=G29,$D29=H29),$E$176,0))</f>
        <v/>
      </c>
      <c r="L29" s="53" t="n">
        <f aca="false">002_MikiZiso2!$F15</f>
        <v>3</v>
      </c>
      <c r="M29" s="53" t="n">
        <f aca="false">002_MikiZiso2!$G15</f>
        <v>2</v>
      </c>
      <c r="N29" s="54" t="str">
        <f aca="false">IF(OR(M29="",L29=""),"",IF(L29&gt;M29,"I",IF(L29=M29,"X","II")))</f>
        <v>I</v>
      </c>
      <c r="O29" s="53" t="str">
        <f aca="false">IF($E29="","",IF(N29=$E29,$E$175,0)+IF(AND($C29=L29,$D29=M29),$E$176,0))</f>
        <v/>
      </c>
      <c r="Q29" s="53" t="n">
        <f aca="false">003_Miki_Ziso!$F15</f>
        <v>2</v>
      </c>
      <c r="R29" s="53" t="n">
        <f aca="false">003_Miki_Ziso!$G15</f>
        <v>2</v>
      </c>
      <c r="S29" s="54" t="str">
        <f aca="false">IF(OR(R29="",Q29=""),"",IF(Q29&gt;R29,"I",IF(Q29=R29,"X","II")))</f>
        <v>X</v>
      </c>
      <c r="T29" s="53" t="str">
        <f aca="false">IF($E29="","",IF(S29=$E29,$E$175,0)+IF(AND($C29=Q29,$D29=R29),$E$176,0))</f>
        <v/>
      </c>
      <c r="V29" s="53" t="n">
        <f aca="false">004_Nir1!$F15</f>
        <v>3</v>
      </c>
      <c r="W29" s="53" t="n">
        <f aca="false">004_Nir1!$G15</f>
        <v>3</v>
      </c>
      <c r="X29" s="54" t="str">
        <f aca="false">IF(OR(W29="",V29=""),"",IF(V29&gt;W29,"I",IF(V29=W29,"X","II")))</f>
        <v>X</v>
      </c>
      <c r="Y29" s="53" t="str">
        <f aca="false">IF($E29="","",IF(X29=$E29,$E$175,0)+IF(AND($C29=V29,$D29=W29),$E$176,0))</f>
        <v/>
      </c>
      <c r="AA29" s="53" t="n">
        <f aca="false">005_Nir2!$F15</f>
        <v>3</v>
      </c>
      <c r="AB29" s="53" t="n">
        <f aca="false">005_Nir2!$G15</f>
        <v>2</v>
      </c>
      <c r="AC29" s="54" t="str">
        <f aca="false">IF(OR(AB29="",AA29=""),"",IF(AA29&gt;AB29,"I",IF(AA29=AB29,"X","II")))</f>
        <v>I</v>
      </c>
      <c r="AD29" s="53" t="str">
        <f aca="false">IF($E29="","",IF(AC29=$E29,$E$175,0)+IF(AND($C29=AA29,$D29=AB29),$E$176,0))</f>
        <v/>
      </c>
      <c r="AF29" s="53" t="n">
        <f aca="false">006_Nir3!$F15</f>
        <v>3</v>
      </c>
      <c r="AG29" s="53" t="n">
        <f aca="false">006_Nir3!$G15</f>
        <v>0</v>
      </c>
      <c r="AH29" s="54" t="str">
        <f aca="false">IF(OR(AG29="",AF29=""),"",IF(AF29&gt;AG29,"I",IF(AF29=AG29,"X","II")))</f>
        <v>I</v>
      </c>
      <c r="AI29" s="53" t="str">
        <f aca="false">IF($E29="","",IF(AH29=$E29,$E$175,0)+IF(AND($C29=AF29,$D29=AG29),$E$176,0))</f>
        <v/>
      </c>
    </row>
    <row r="30" customFormat="false" ht="14.25" hidden="false" customHeight="true" outlineLevel="0" collapsed="false">
      <c r="A30" s="6" t="n">
        <v>10</v>
      </c>
      <c r="B30" s="6" t="s">
        <v>17</v>
      </c>
      <c r="C30" s="52" t="str">
        <f aca="false">IF(Summary!L13="","",Summary!L13)</f>
        <v/>
      </c>
      <c r="D30" s="52" t="str">
        <f aca="false">IF(Summary!M13="","",Summary!M13)</f>
        <v/>
      </c>
      <c r="E30" s="14" t="str">
        <f aca="false">IF(OR(D30="",C30=""),"",IF(C30&gt;D30,"I",IF(C30=D30,"X","II")))</f>
        <v/>
      </c>
      <c r="F30" s="6"/>
      <c r="G30" s="53" t="n">
        <f aca="false">001_MikiZiso3!$F16</f>
        <v>5</v>
      </c>
      <c r="H30" s="53" t="n">
        <f aca="false">001_MikiZiso3!$G16</f>
        <v>0</v>
      </c>
      <c r="I30" s="54" t="str">
        <f aca="false">IF(OR(H30="",G30=""),"",IF(G30&gt;H30,"I",IF(G30=H30,"X","II")))</f>
        <v>I</v>
      </c>
      <c r="J30" s="53" t="str">
        <f aca="false">IF($E30="","",IF(I30=$E30,$E$175,0)+IF(AND($C30=G30,$D30=H30),$E$176,0))</f>
        <v/>
      </c>
      <c r="L30" s="53" t="n">
        <f aca="false">002_MikiZiso2!$F16</f>
        <v>5</v>
      </c>
      <c r="M30" s="53" t="n">
        <f aca="false">002_MikiZiso2!$G16</f>
        <v>0</v>
      </c>
      <c r="N30" s="54" t="str">
        <f aca="false">IF(OR(M30="",L30=""),"",IF(L30&gt;M30,"I",IF(L30=M30,"X","II")))</f>
        <v>I</v>
      </c>
      <c r="O30" s="53" t="str">
        <f aca="false">IF($E30="","",IF(N30=$E30,$E$175,0)+IF(AND($C30=L30,$D30=M30),$E$176,0))</f>
        <v/>
      </c>
      <c r="Q30" s="53" t="n">
        <f aca="false">003_Miki_Ziso!$F16</f>
        <v>5</v>
      </c>
      <c r="R30" s="53" t="n">
        <f aca="false">003_Miki_Ziso!$G16</f>
        <v>0</v>
      </c>
      <c r="S30" s="54" t="str">
        <f aca="false">IF(OR(R30="",Q30=""),"",IF(Q30&gt;R30,"I",IF(Q30=R30,"X","II")))</f>
        <v>I</v>
      </c>
      <c r="T30" s="53" t="str">
        <f aca="false">IF($E30="","",IF(S30=$E30,$E$175,0)+IF(AND($C30=Q30,$D30=R30),$E$176,0))</f>
        <v/>
      </c>
      <c r="V30" s="53" t="n">
        <f aca="false">004_Nir1!$F16</f>
        <v>2</v>
      </c>
      <c r="W30" s="53" t="n">
        <f aca="false">004_Nir1!$G16</f>
        <v>1</v>
      </c>
      <c r="X30" s="54" t="str">
        <f aca="false">IF(OR(W30="",V30=""),"",IF(V30&gt;W30,"I",IF(V30=W30,"X","II")))</f>
        <v>I</v>
      </c>
      <c r="Y30" s="53" t="str">
        <f aca="false">IF($E30="","",IF(X30=$E30,$E$175,0)+IF(AND($C30=V30,$D30=W30),$E$176,0))</f>
        <v/>
      </c>
      <c r="AA30" s="53" t="n">
        <f aca="false">005_Nir2!$F16</f>
        <v>2</v>
      </c>
      <c r="AB30" s="53" t="n">
        <f aca="false">005_Nir2!$G16</f>
        <v>1</v>
      </c>
      <c r="AC30" s="54" t="str">
        <f aca="false">IF(OR(AB30="",AA30=""),"",IF(AA30&gt;AB30,"I",IF(AA30=AB30,"X","II")))</f>
        <v>I</v>
      </c>
      <c r="AD30" s="53" t="str">
        <f aca="false">IF($E30="","",IF(AC30=$E30,$E$175,0)+IF(AND($C30=AA30,$D30=AB30),$E$176,0))</f>
        <v/>
      </c>
      <c r="AF30" s="53" t="n">
        <f aca="false">006_Nir3!$F16</f>
        <v>0</v>
      </c>
      <c r="AG30" s="53" t="n">
        <f aca="false">006_Nir3!$G16</f>
        <v>0</v>
      </c>
      <c r="AH30" s="54" t="str">
        <f aca="false">IF(OR(AG30="",AF30=""),"",IF(AF30&gt;AG30,"I",IF(AF30=AG30,"X","II")))</f>
        <v>X</v>
      </c>
      <c r="AI30" s="53" t="str">
        <f aca="false">IF($E30="","",IF(AH30=$E30,$E$175,0)+IF(AND($C30=AF30,$D30=AG30),$E$176,0))</f>
        <v/>
      </c>
    </row>
    <row r="31" customFormat="false" ht="14.25" hidden="false" customHeight="true" outlineLevel="0" collapsed="false">
      <c r="A31" s="6" t="n">
        <v>11</v>
      </c>
      <c r="B31" s="6" t="s">
        <v>18</v>
      </c>
      <c r="C31" s="52" t="str">
        <f aca="false">IF(Summary!L14="","",Summary!L14)</f>
        <v/>
      </c>
      <c r="D31" s="52" t="str">
        <f aca="false">IF(Summary!M14="","",Summary!M14)</f>
        <v/>
      </c>
      <c r="E31" s="14" t="str">
        <f aca="false">IF(OR(D31="",C31=""),"",IF(C31&gt;D31,"I",IF(C31=D31,"X","II")))</f>
        <v/>
      </c>
      <c r="F31" s="6"/>
      <c r="G31" s="53" t="n">
        <f aca="false">001_MikiZiso3!$F17</f>
        <v>0</v>
      </c>
      <c r="H31" s="53" t="n">
        <f aca="false">001_MikiZiso3!$G17</f>
        <v>2</v>
      </c>
      <c r="I31" s="54" t="str">
        <f aca="false">IF(OR(H31="",G31=""),"",IF(G31&gt;H31,"I",IF(G31=H31,"X","II")))</f>
        <v>II</v>
      </c>
      <c r="J31" s="53" t="str">
        <f aca="false">IF($E31="","",IF(I31=$E31,$E$175,0)+IF(AND($C31=G31,$D31=H31),$E$176,0))</f>
        <v/>
      </c>
      <c r="L31" s="53" t="n">
        <f aca="false">002_MikiZiso2!$F17</f>
        <v>0</v>
      </c>
      <c r="M31" s="53" t="n">
        <f aca="false">002_MikiZiso2!$G17</f>
        <v>2</v>
      </c>
      <c r="N31" s="54" t="str">
        <f aca="false">IF(OR(M31="",L31=""),"",IF(L31&gt;M31,"I",IF(L31=M31,"X","II")))</f>
        <v>II</v>
      </c>
      <c r="O31" s="53" t="str">
        <f aca="false">IF($E31="","",IF(N31=$E31,$E$175,0)+IF(AND($C31=L31,$D31=M31),$E$176,0))</f>
        <v/>
      </c>
      <c r="Q31" s="53" t="n">
        <f aca="false">003_Miki_Ziso!$F17</f>
        <v>0</v>
      </c>
      <c r="R31" s="53" t="n">
        <f aca="false">003_Miki_Ziso!$G17</f>
        <v>2</v>
      </c>
      <c r="S31" s="54" t="str">
        <f aca="false">IF(OR(R31="",Q31=""),"",IF(Q31&gt;R31,"I",IF(Q31=R31,"X","II")))</f>
        <v>II</v>
      </c>
      <c r="T31" s="53" t="str">
        <f aca="false">IF($E31="","",IF(S31=$E31,$E$175,0)+IF(AND($C31=Q31,$D31=R31),$E$176,0))</f>
        <v/>
      </c>
      <c r="V31" s="53" t="n">
        <f aca="false">004_Nir1!$F17</f>
        <v>1</v>
      </c>
      <c r="W31" s="53" t="n">
        <f aca="false">004_Nir1!$G17</f>
        <v>0</v>
      </c>
      <c r="X31" s="54" t="str">
        <f aca="false">IF(OR(W31="",V31=""),"",IF(V31&gt;W31,"I",IF(V31=W31,"X","II")))</f>
        <v>I</v>
      </c>
      <c r="Y31" s="53" t="str">
        <f aca="false">IF($E31="","",IF(X31=$E31,$E$175,0)+IF(AND($C31=V31,$D31=W31),$E$176,0))</f>
        <v/>
      </c>
      <c r="AA31" s="53" t="n">
        <f aca="false">005_Nir2!$F17</f>
        <v>1</v>
      </c>
      <c r="AB31" s="53" t="n">
        <f aca="false">005_Nir2!$G17</f>
        <v>3</v>
      </c>
      <c r="AC31" s="54" t="str">
        <f aca="false">IF(OR(AB31="",AA31=""),"",IF(AA31&gt;AB31,"I",IF(AA31=AB31,"X","II")))</f>
        <v>II</v>
      </c>
      <c r="AD31" s="53" t="str">
        <f aca="false">IF($E31="","",IF(AC31=$E31,$E$175,0)+IF(AND($C31=AA31,$D31=AB31),$E$176,0))</f>
        <v/>
      </c>
      <c r="AF31" s="53" t="n">
        <f aca="false">006_Nir3!$F17</f>
        <v>0</v>
      </c>
      <c r="AG31" s="53" t="n">
        <f aca="false">006_Nir3!$G17</f>
        <v>1</v>
      </c>
      <c r="AH31" s="54" t="str">
        <f aca="false">IF(OR(AG31="",AF31=""),"",IF(AF31&gt;AG31,"I",IF(AF31=AG31,"X","II")))</f>
        <v>II</v>
      </c>
      <c r="AI31" s="53" t="str">
        <f aca="false">IF($E31="","",IF(AH31=$E31,$E$175,0)+IF(AND($C31=AF31,$D31=AG31),$E$176,0))</f>
        <v/>
      </c>
    </row>
    <row r="32" customFormat="false" ht="14.25" hidden="false" customHeight="true" outlineLevel="0" collapsed="false">
      <c r="A32" s="6" t="n">
        <v>12</v>
      </c>
      <c r="B32" s="6" t="s">
        <v>19</v>
      </c>
      <c r="C32" s="52" t="str">
        <f aca="false">IF(Summary!L15="","",Summary!L15)</f>
        <v/>
      </c>
      <c r="D32" s="52" t="str">
        <f aca="false">IF(Summary!M15="","",Summary!M15)</f>
        <v/>
      </c>
      <c r="E32" s="14" t="str">
        <f aca="false">IF(OR(D32="",C32=""),"",IF(C32&gt;D32,"I",IF(C32=D32,"X","II")))</f>
        <v/>
      </c>
      <c r="F32" s="6"/>
      <c r="G32" s="53" t="n">
        <f aca="false">001_MikiZiso3!$F18</f>
        <v>2</v>
      </c>
      <c r="H32" s="53" t="n">
        <f aca="false">001_MikiZiso3!$G18</f>
        <v>1</v>
      </c>
      <c r="I32" s="54" t="str">
        <f aca="false">IF(OR(H32="",G32=""),"",IF(G32&gt;H32,"I",IF(G32=H32,"X","II")))</f>
        <v>I</v>
      </c>
      <c r="J32" s="53" t="str">
        <f aca="false">IF($E32="","",IF(I32=$E32,$E$175,0)+IF(AND($C32=G32,$D32=H32),$E$176,0))</f>
        <v/>
      </c>
      <c r="L32" s="53" t="n">
        <f aca="false">002_MikiZiso2!$F18</f>
        <v>2</v>
      </c>
      <c r="M32" s="53" t="n">
        <f aca="false">002_MikiZiso2!$G18</f>
        <v>1</v>
      </c>
      <c r="N32" s="54" t="str">
        <f aca="false">IF(OR(M32="",L32=""),"",IF(L32&gt;M32,"I",IF(L32=M32,"X","II")))</f>
        <v>I</v>
      </c>
      <c r="O32" s="53" t="str">
        <f aca="false">IF($E32="","",IF(N32=$E32,$E$175,0)+IF(AND($C32=L32,$D32=M32),$E$176,0))</f>
        <v/>
      </c>
      <c r="Q32" s="53" t="n">
        <f aca="false">003_Miki_Ziso!$F18</f>
        <v>2</v>
      </c>
      <c r="R32" s="53" t="n">
        <f aca="false">003_Miki_Ziso!$G18</f>
        <v>0</v>
      </c>
      <c r="S32" s="54" t="str">
        <f aca="false">IF(OR(R32="",Q32=""),"",IF(Q32&gt;R32,"I",IF(Q32=R32,"X","II")))</f>
        <v>I</v>
      </c>
      <c r="T32" s="53" t="str">
        <f aca="false">IF($E32="","",IF(S32=$E32,$E$175,0)+IF(AND($C32=Q32,$D32=R32),$E$176,0))</f>
        <v/>
      </c>
      <c r="V32" s="53" t="n">
        <f aca="false">004_Nir1!$F18</f>
        <v>3</v>
      </c>
      <c r="W32" s="53" t="n">
        <f aca="false">004_Nir1!$G18</f>
        <v>1</v>
      </c>
      <c r="X32" s="54" t="str">
        <f aca="false">IF(OR(W32="",V32=""),"",IF(V32&gt;W32,"I",IF(V32=W32,"X","II")))</f>
        <v>I</v>
      </c>
      <c r="Y32" s="53" t="str">
        <f aca="false">IF($E32="","",IF(X32=$E32,$E$175,0)+IF(AND($C32=V32,$D32=W32),$E$176,0))</f>
        <v/>
      </c>
      <c r="AA32" s="53" t="n">
        <f aca="false">005_Nir2!$F18</f>
        <v>0</v>
      </c>
      <c r="AB32" s="53" t="n">
        <f aca="false">005_Nir2!$G18</f>
        <v>2</v>
      </c>
      <c r="AC32" s="54" t="str">
        <f aca="false">IF(OR(AB32="",AA32=""),"",IF(AA32&gt;AB32,"I",IF(AA32=AB32,"X","II")))</f>
        <v>II</v>
      </c>
      <c r="AD32" s="53" t="str">
        <f aca="false">IF($E32="","",IF(AC32=$E32,$E$175,0)+IF(AND($C32=AA32,$D32=AB32),$E$176,0))</f>
        <v/>
      </c>
      <c r="AF32" s="53" t="n">
        <f aca="false">006_Nir3!$F18</f>
        <v>0</v>
      </c>
      <c r="AG32" s="53" t="n">
        <f aca="false">006_Nir3!$G18</f>
        <v>2</v>
      </c>
      <c r="AH32" s="54" t="str">
        <f aca="false">IF(OR(AG32="",AF32=""),"",IF(AF32&gt;AG32,"I",IF(AF32=AG32,"X","II")))</f>
        <v>II</v>
      </c>
      <c r="AI32" s="53" t="str">
        <f aca="false">IF($E32="","",IF(AH32=$E32,$E$175,0)+IF(AND($C32=AF32,$D32=AG32),$E$176,0))</f>
        <v/>
      </c>
    </row>
    <row r="33" customFormat="false" ht="14.25" hidden="false" customHeight="true" outlineLevel="0" collapsed="false">
      <c r="A33" s="6" t="n">
        <v>13</v>
      </c>
      <c r="B33" s="6" t="s">
        <v>20</v>
      </c>
      <c r="C33" s="52" t="str">
        <f aca="false">IF(Summary!L16="","",Summary!L16)</f>
        <v/>
      </c>
      <c r="D33" s="52" t="str">
        <f aca="false">IF(Summary!M16="","",Summary!M16)</f>
        <v/>
      </c>
      <c r="E33" s="14" t="str">
        <f aca="false">IF(OR(D33="",C33=""),"",IF(C33&gt;D33,"I",IF(C33=D33,"X","II")))</f>
        <v/>
      </c>
      <c r="F33" s="6"/>
      <c r="G33" s="53" t="n">
        <f aca="false">001_MikiZiso3!$F19</f>
        <v>0</v>
      </c>
      <c r="H33" s="53" t="n">
        <f aca="false">001_MikiZiso3!$G19</f>
        <v>1</v>
      </c>
      <c r="I33" s="54" t="str">
        <f aca="false">IF(OR(H33="",G33=""),"",IF(G33&gt;H33,"I",IF(G33=H33,"X","II")))</f>
        <v>II</v>
      </c>
      <c r="J33" s="53" t="str">
        <f aca="false">IF($E33="","",IF(I33=$E33,$E$175,0)+IF(AND($C33=G33,$D33=H33),$E$176,0))</f>
        <v/>
      </c>
      <c r="L33" s="53" t="n">
        <f aca="false">002_MikiZiso2!$F19</f>
        <v>0</v>
      </c>
      <c r="M33" s="53" t="n">
        <f aca="false">002_MikiZiso2!$G19</f>
        <v>1</v>
      </c>
      <c r="N33" s="54" t="str">
        <f aca="false">IF(OR(M33="",L33=""),"",IF(L33&gt;M33,"I",IF(L33=M33,"X","II")))</f>
        <v>II</v>
      </c>
      <c r="O33" s="53" t="str">
        <f aca="false">IF($E33="","",IF(N33=$E33,$E$175,0)+IF(AND($C33=L33,$D33=M33),$E$176,0))</f>
        <v/>
      </c>
      <c r="Q33" s="53" t="n">
        <f aca="false">003_Miki_Ziso!$F19</f>
        <v>0</v>
      </c>
      <c r="R33" s="53" t="n">
        <f aca="false">003_Miki_Ziso!$G19</f>
        <v>0</v>
      </c>
      <c r="S33" s="54" t="str">
        <f aca="false">IF(OR(R33="",Q33=""),"",IF(Q33&gt;R33,"I",IF(Q33=R33,"X","II")))</f>
        <v>X</v>
      </c>
      <c r="T33" s="53" t="str">
        <f aca="false">IF($E33="","",IF(S33=$E33,$E$175,0)+IF(AND($C33=Q33,$D33=R33),$E$176,0))</f>
        <v/>
      </c>
      <c r="V33" s="53" t="n">
        <f aca="false">004_Nir1!$F19</f>
        <v>0</v>
      </c>
      <c r="W33" s="53" t="n">
        <f aca="false">004_Nir1!$G19</f>
        <v>2</v>
      </c>
      <c r="X33" s="54" t="str">
        <f aca="false">IF(OR(W33="",V33=""),"",IF(V33&gt;W33,"I",IF(V33=W33,"X","II")))</f>
        <v>II</v>
      </c>
      <c r="Y33" s="53" t="str">
        <f aca="false">IF($E33="","",IF(X33=$E33,$E$175,0)+IF(AND($C33=V33,$D33=W33),$E$176,0))</f>
        <v/>
      </c>
      <c r="AA33" s="53" t="n">
        <f aca="false">005_Nir2!$F19</f>
        <v>0</v>
      </c>
      <c r="AB33" s="53" t="n">
        <f aca="false">005_Nir2!$G19</f>
        <v>1</v>
      </c>
      <c r="AC33" s="54" t="str">
        <f aca="false">IF(OR(AB33="",AA33=""),"",IF(AA33&gt;AB33,"I",IF(AA33=AB33,"X","II")))</f>
        <v>II</v>
      </c>
      <c r="AD33" s="53" t="str">
        <f aca="false">IF($E33="","",IF(AC33=$E33,$E$175,0)+IF(AND($C33=AA33,$D33=AB33),$E$176,0))</f>
        <v/>
      </c>
      <c r="AF33" s="53" t="n">
        <f aca="false">006_Nir3!$F19</f>
        <v>0</v>
      </c>
      <c r="AG33" s="53" t="n">
        <f aca="false">006_Nir3!$G19</f>
        <v>1</v>
      </c>
      <c r="AH33" s="54" t="str">
        <f aca="false">IF(OR(AG33="",AF33=""),"",IF(AF33&gt;AG33,"I",IF(AF33=AG33,"X","II")))</f>
        <v>II</v>
      </c>
      <c r="AI33" s="53" t="str">
        <f aca="false">IF($E33="","",IF(AH33=$E33,$E$175,0)+IF(AND($C33=AF33,$D33=AG33),$E$176,0))</f>
        <v/>
      </c>
    </row>
    <row r="34" customFormat="false" ht="14.25" hidden="false" customHeight="true" outlineLevel="0" collapsed="false">
      <c r="A34" s="6" t="n">
        <v>14</v>
      </c>
      <c r="B34" s="6" t="s">
        <v>21</v>
      </c>
      <c r="C34" s="52" t="str">
        <f aca="false">IF(Summary!L17="","",Summary!L17)</f>
        <v/>
      </c>
      <c r="D34" s="52" t="str">
        <f aca="false">IF(Summary!M17="","",Summary!M17)</f>
        <v/>
      </c>
      <c r="E34" s="14" t="str">
        <f aca="false">IF(OR(D34="",C34=""),"",IF(C34&gt;D34,"I",IF(C34=D34,"X","II")))</f>
        <v/>
      </c>
      <c r="F34" s="6"/>
      <c r="G34" s="53" t="n">
        <f aca="false">001_MikiZiso3!$F20</f>
        <v>1</v>
      </c>
      <c r="H34" s="53" t="n">
        <f aca="false">001_MikiZiso3!$G20</f>
        <v>0</v>
      </c>
      <c r="I34" s="54" t="str">
        <f aca="false">IF(OR(H34="",G34=""),"",IF(G34&gt;H34,"I",IF(G34=H34,"X","II")))</f>
        <v>I</v>
      </c>
      <c r="J34" s="53" t="str">
        <f aca="false">IF($E34="","",IF(I34=$E34,$E$175,0)+IF(AND($C34=G34,$D34=H34),$E$176,0))</f>
        <v/>
      </c>
      <c r="L34" s="53" t="n">
        <f aca="false">002_MikiZiso2!$F20</f>
        <v>1</v>
      </c>
      <c r="M34" s="53" t="n">
        <f aca="false">002_MikiZiso2!$G20</f>
        <v>0</v>
      </c>
      <c r="N34" s="54" t="str">
        <f aca="false">IF(OR(M34="",L34=""),"",IF(L34&gt;M34,"I",IF(L34=M34,"X","II")))</f>
        <v>I</v>
      </c>
      <c r="O34" s="53" t="str">
        <f aca="false">IF($E34="","",IF(N34=$E34,$E$175,0)+IF(AND($C34=L34,$D34=M34),$E$176,0))</f>
        <v/>
      </c>
      <c r="Q34" s="53" t="n">
        <f aca="false">003_Miki_Ziso!$F20</f>
        <v>1</v>
      </c>
      <c r="R34" s="53" t="n">
        <f aca="false">003_Miki_Ziso!$G20</f>
        <v>0</v>
      </c>
      <c r="S34" s="54" t="str">
        <f aca="false">IF(OR(R34="",Q34=""),"",IF(Q34&gt;R34,"I",IF(Q34=R34,"X","II")))</f>
        <v>I</v>
      </c>
      <c r="T34" s="53" t="str">
        <f aca="false">IF($E34="","",IF(S34=$E34,$E$175,0)+IF(AND($C34=Q34,$D34=R34),$E$176,0))</f>
        <v/>
      </c>
      <c r="V34" s="53" t="n">
        <f aca="false">004_Nir1!$F20</f>
        <v>1</v>
      </c>
      <c r="W34" s="53" t="n">
        <f aca="false">004_Nir1!$G20</f>
        <v>3</v>
      </c>
      <c r="X34" s="54" t="str">
        <f aca="false">IF(OR(W34="",V34=""),"",IF(V34&gt;W34,"I",IF(V34=W34,"X","II")))</f>
        <v>II</v>
      </c>
      <c r="Y34" s="53" t="str">
        <f aca="false">IF($E34="","",IF(X34=$E34,$E$175,0)+IF(AND($C34=V34,$D34=W34),$E$176,0))</f>
        <v/>
      </c>
      <c r="AA34" s="53" t="n">
        <f aca="false">005_Nir2!$F20</f>
        <v>0</v>
      </c>
      <c r="AB34" s="53" t="n">
        <f aca="false">005_Nir2!$G20</f>
        <v>0</v>
      </c>
      <c r="AC34" s="54" t="str">
        <f aca="false">IF(OR(AB34="",AA34=""),"",IF(AA34&gt;AB34,"I",IF(AA34=AB34,"X","II")))</f>
        <v>X</v>
      </c>
      <c r="AD34" s="53" t="str">
        <f aca="false">IF($E34="","",IF(AC34=$E34,$E$175,0)+IF(AND($C34=AA34,$D34=AB34),$E$176,0))</f>
        <v/>
      </c>
      <c r="AF34" s="53" t="n">
        <f aca="false">006_Nir3!$F20</f>
        <v>0</v>
      </c>
      <c r="AG34" s="53" t="n">
        <f aca="false">006_Nir3!$G20</f>
        <v>3</v>
      </c>
      <c r="AH34" s="54" t="str">
        <f aca="false">IF(OR(AG34="",AF34=""),"",IF(AF34&gt;AG34,"I",IF(AF34=AG34,"X","II")))</f>
        <v>II</v>
      </c>
      <c r="AI34" s="53" t="str">
        <f aca="false">IF($E34="","",IF(AH34=$E34,$E$175,0)+IF(AND($C34=AF34,$D34=AG34),$E$176,0))</f>
        <v/>
      </c>
    </row>
    <row r="35" customFormat="false" ht="14.25" hidden="false" customHeight="true" outlineLevel="0" collapsed="false">
      <c r="A35" s="6" t="n">
        <v>15</v>
      </c>
      <c r="B35" s="6" t="s">
        <v>22</v>
      </c>
      <c r="C35" s="52" t="str">
        <f aca="false">IF(Summary!L18="","",Summary!L18)</f>
        <v/>
      </c>
      <c r="D35" s="52" t="str">
        <f aca="false">IF(Summary!M18="","",Summary!M18)</f>
        <v/>
      </c>
      <c r="E35" s="14" t="str">
        <f aca="false">IF(OR(D35="",C35=""),"",IF(C35&gt;D35,"I",IF(C35=D35,"X","II")))</f>
        <v/>
      </c>
      <c r="F35" s="6"/>
      <c r="G35" s="53" t="n">
        <f aca="false">001_MikiZiso3!$F21</f>
        <v>0</v>
      </c>
      <c r="H35" s="53" t="n">
        <f aca="false">001_MikiZiso3!$G21</f>
        <v>2</v>
      </c>
      <c r="I35" s="54" t="str">
        <f aca="false">IF(OR(H35="",G35=""),"",IF(G35&gt;H35,"I",IF(G35=H35,"X","II")))</f>
        <v>II</v>
      </c>
      <c r="J35" s="53" t="str">
        <f aca="false">IF($E35="","",IF(I35=$E35,$E$175,0)+IF(AND($C35=G35,$D35=H35),$E$176,0))</f>
        <v/>
      </c>
      <c r="L35" s="53" t="n">
        <f aca="false">002_MikiZiso2!$F21</f>
        <v>0</v>
      </c>
      <c r="M35" s="53" t="n">
        <f aca="false">002_MikiZiso2!$G21</f>
        <v>2</v>
      </c>
      <c r="N35" s="54" t="str">
        <f aca="false">IF(OR(M35="",L35=""),"",IF(L35&gt;M35,"I",IF(L35=M35,"X","II")))</f>
        <v>II</v>
      </c>
      <c r="O35" s="53" t="str">
        <f aca="false">IF($E35="","",IF(N35=$E35,$E$175,0)+IF(AND($C35=L35,$D35=M35),$E$176,0))</f>
        <v/>
      </c>
      <c r="Q35" s="53" t="n">
        <f aca="false">003_Miki_Ziso!$F21</f>
        <v>0</v>
      </c>
      <c r="R35" s="53" t="n">
        <f aca="false">003_Miki_Ziso!$G21</f>
        <v>2</v>
      </c>
      <c r="S35" s="54" t="str">
        <f aca="false">IF(OR(R35="",Q35=""),"",IF(Q35&gt;R35,"I",IF(Q35=R35,"X","II")))</f>
        <v>II</v>
      </c>
      <c r="T35" s="53" t="str">
        <f aca="false">IF($E35="","",IF(S35=$E35,$E$175,0)+IF(AND($C35=Q35,$D35=R35),$E$176,0))</f>
        <v/>
      </c>
      <c r="V35" s="53" t="n">
        <f aca="false">004_Nir1!$F21</f>
        <v>2</v>
      </c>
      <c r="W35" s="53" t="n">
        <f aca="false">004_Nir1!$G21</f>
        <v>1</v>
      </c>
      <c r="X35" s="54" t="str">
        <f aca="false">IF(OR(W35="",V35=""),"",IF(V35&gt;W35,"I",IF(V35=W35,"X","II")))</f>
        <v>I</v>
      </c>
      <c r="Y35" s="53" t="str">
        <f aca="false">IF($E35="","",IF(X35=$E35,$E$175,0)+IF(AND($C35=V35,$D35=W35),$E$176,0))</f>
        <v/>
      </c>
      <c r="AA35" s="53" t="n">
        <f aca="false">005_Nir2!$F21</f>
        <v>3</v>
      </c>
      <c r="AB35" s="53" t="n">
        <f aca="false">005_Nir2!$G21</f>
        <v>0</v>
      </c>
      <c r="AC35" s="54" t="str">
        <f aca="false">IF(OR(AB35="",AA35=""),"",IF(AA35&gt;AB35,"I",IF(AA35=AB35,"X","II")))</f>
        <v>I</v>
      </c>
      <c r="AD35" s="53" t="str">
        <f aca="false">IF($E35="","",IF(AC35=$E35,$E$175,0)+IF(AND($C35=AA35,$D35=AB35),$E$176,0))</f>
        <v/>
      </c>
      <c r="AF35" s="53" t="n">
        <f aca="false">006_Nir3!$F21</f>
        <v>1</v>
      </c>
      <c r="AG35" s="53" t="n">
        <f aca="false">006_Nir3!$G21</f>
        <v>3</v>
      </c>
      <c r="AH35" s="54" t="str">
        <f aca="false">IF(OR(AG35="",AF35=""),"",IF(AF35&gt;AG35,"I",IF(AF35=AG35,"X","II")))</f>
        <v>II</v>
      </c>
      <c r="AI35" s="53" t="str">
        <f aca="false">IF($E35="","",IF(AH35=$E35,$E$175,0)+IF(AND($C35=AF35,$D35=AG35),$E$176,0))</f>
        <v/>
      </c>
    </row>
    <row r="36" customFormat="false" ht="14.25" hidden="false" customHeight="true" outlineLevel="0" collapsed="false">
      <c r="A36" s="6" t="n">
        <v>16</v>
      </c>
      <c r="B36" s="6" t="s">
        <v>23</v>
      </c>
      <c r="C36" s="52" t="str">
        <f aca="false">IF(Summary!L19="","",Summary!L19)</f>
        <v/>
      </c>
      <c r="D36" s="52" t="str">
        <f aca="false">IF(Summary!M19="","",Summary!M19)</f>
        <v/>
      </c>
      <c r="E36" s="14" t="str">
        <f aca="false">IF(OR(D36="",C36=""),"",IF(C36&gt;D36,"I",IF(C36=D36,"X","II")))</f>
        <v/>
      </c>
      <c r="F36" s="6"/>
      <c r="G36" s="53" t="n">
        <f aca="false">001_MikiZiso3!$F22</f>
        <v>2</v>
      </c>
      <c r="H36" s="53" t="n">
        <f aca="false">001_MikiZiso3!$G22</f>
        <v>1</v>
      </c>
      <c r="I36" s="54" t="str">
        <f aca="false">IF(OR(H36="",G36=""),"",IF(G36&gt;H36,"I",IF(G36=H36,"X","II")))</f>
        <v>I</v>
      </c>
      <c r="J36" s="53" t="str">
        <f aca="false">IF($E36="","",IF(I36=$E36,$E$175,0)+IF(AND($C36=G36,$D36=H36),$E$176,0))</f>
        <v/>
      </c>
      <c r="L36" s="53" t="n">
        <f aca="false">002_MikiZiso2!$F22</f>
        <v>2</v>
      </c>
      <c r="M36" s="53" t="n">
        <f aca="false">002_MikiZiso2!$G22</f>
        <v>1</v>
      </c>
      <c r="N36" s="54" t="str">
        <f aca="false">IF(OR(M36="",L36=""),"",IF(L36&gt;M36,"I",IF(L36=M36,"X","II")))</f>
        <v>I</v>
      </c>
      <c r="O36" s="53" t="str">
        <f aca="false">IF($E36="","",IF(N36=$E36,$E$175,0)+IF(AND($C36=L36,$D36=M36),$E$176,0))</f>
        <v/>
      </c>
      <c r="Q36" s="53" t="n">
        <f aca="false">003_Miki_Ziso!$F22</f>
        <v>2</v>
      </c>
      <c r="R36" s="53" t="n">
        <f aca="false">003_Miki_Ziso!$G22</f>
        <v>1</v>
      </c>
      <c r="S36" s="54" t="str">
        <f aca="false">IF(OR(R36="",Q36=""),"",IF(Q36&gt;R36,"I",IF(Q36=R36,"X","II")))</f>
        <v>I</v>
      </c>
      <c r="T36" s="53" t="str">
        <f aca="false">IF($E36="","",IF(S36=$E36,$E$175,0)+IF(AND($C36=Q36,$D36=R36),$E$176,0))</f>
        <v/>
      </c>
      <c r="V36" s="53" t="n">
        <f aca="false">004_Nir1!$F22</f>
        <v>1</v>
      </c>
      <c r="W36" s="53" t="n">
        <f aca="false">004_Nir1!$G22</f>
        <v>0</v>
      </c>
      <c r="X36" s="54" t="str">
        <f aca="false">IF(OR(W36="",V36=""),"",IF(V36&gt;W36,"I",IF(V36=W36,"X","II")))</f>
        <v>I</v>
      </c>
      <c r="Y36" s="53" t="str">
        <f aca="false">IF($E36="","",IF(X36=$E36,$E$175,0)+IF(AND($C36=V36,$D36=W36),$E$176,0))</f>
        <v/>
      </c>
      <c r="AA36" s="53" t="n">
        <f aca="false">005_Nir2!$F22</f>
        <v>0</v>
      </c>
      <c r="AB36" s="53" t="n">
        <f aca="false">005_Nir2!$G22</f>
        <v>3</v>
      </c>
      <c r="AC36" s="54" t="str">
        <f aca="false">IF(OR(AB36="",AA36=""),"",IF(AA36&gt;AB36,"I",IF(AA36=AB36,"X","II")))</f>
        <v>II</v>
      </c>
      <c r="AD36" s="53" t="str">
        <f aca="false">IF($E36="","",IF(AC36=$E36,$E$175,0)+IF(AND($C36=AA36,$D36=AB36),$E$176,0))</f>
        <v/>
      </c>
      <c r="AF36" s="53" t="n">
        <f aca="false">006_Nir3!$F22</f>
        <v>0</v>
      </c>
      <c r="AG36" s="53" t="n">
        <f aca="false">006_Nir3!$G22</f>
        <v>4</v>
      </c>
      <c r="AH36" s="54" t="str">
        <f aca="false">IF(OR(AG36="",AF36=""),"",IF(AF36&gt;AG36,"I",IF(AF36=AG36,"X","II")))</f>
        <v>II</v>
      </c>
      <c r="AI36" s="53" t="str">
        <f aca="false">IF($E36="","",IF(AH36=$E36,$E$175,0)+IF(AND($C36=AF36,$D36=AG36),$E$176,0))</f>
        <v/>
      </c>
    </row>
    <row r="37" customFormat="false" ht="14.25" hidden="false" customHeight="true" outlineLevel="0" collapsed="false">
      <c r="A37" s="6" t="n">
        <v>17</v>
      </c>
      <c r="B37" s="6" t="s">
        <v>24</v>
      </c>
      <c r="C37" s="52" t="str">
        <f aca="false">IF(Summary!L20="","",Summary!L20)</f>
        <v/>
      </c>
      <c r="D37" s="52" t="str">
        <f aca="false">IF(Summary!M20="","",Summary!M20)</f>
        <v/>
      </c>
      <c r="E37" s="14" t="str">
        <f aca="false">IF(OR(D37="",C37=""),"",IF(C37&gt;D37,"I",IF(C37=D37,"X","II")))</f>
        <v/>
      </c>
      <c r="F37" s="6"/>
      <c r="G37" s="53" t="n">
        <f aca="false">001_MikiZiso3!$F23</f>
        <v>2</v>
      </c>
      <c r="H37" s="53" t="n">
        <f aca="false">001_MikiZiso3!$G23</f>
        <v>0</v>
      </c>
      <c r="I37" s="54" t="str">
        <f aca="false">IF(OR(H37="",G37=""),"",IF(G37&gt;H37,"I",IF(G37=H37,"X","II")))</f>
        <v>I</v>
      </c>
      <c r="J37" s="53" t="str">
        <f aca="false">IF($E37="","",IF(I37=$E37,$E$175,0)+IF(AND($C37=G37,$D37=H37),$E$176,0))</f>
        <v/>
      </c>
      <c r="L37" s="53" t="n">
        <f aca="false">002_MikiZiso2!$F23</f>
        <v>2</v>
      </c>
      <c r="M37" s="53" t="n">
        <f aca="false">002_MikiZiso2!$G23</f>
        <v>0</v>
      </c>
      <c r="N37" s="54" t="str">
        <f aca="false">IF(OR(M37="",L37=""),"",IF(L37&gt;M37,"I",IF(L37=M37,"X","II")))</f>
        <v>I</v>
      </c>
      <c r="O37" s="53" t="str">
        <f aca="false">IF($E37="","",IF(N37=$E37,$E$175,0)+IF(AND($C37=L37,$D37=M37),$E$176,0))</f>
        <v/>
      </c>
      <c r="Q37" s="53" t="n">
        <f aca="false">003_Miki_Ziso!$F23</f>
        <v>0</v>
      </c>
      <c r="R37" s="53" t="n">
        <f aca="false">003_Miki_Ziso!$G23</f>
        <v>2</v>
      </c>
      <c r="S37" s="54" t="str">
        <f aca="false">IF(OR(R37="",Q37=""),"",IF(Q37&gt;R37,"I",IF(Q37=R37,"X","II")))</f>
        <v>II</v>
      </c>
      <c r="T37" s="53" t="str">
        <f aca="false">IF($E37="","",IF(S37=$E37,$E$175,0)+IF(AND($C37=Q37,$D37=R37),$E$176,0))</f>
        <v/>
      </c>
      <c r="V37" s="53" t="n">
        <f aca="false">004_Nir1!$F23</f>
        <v>0</v>
      </c>
      <c r="W37" s="53" t="n">
        <f aca="false">004_Nir1!$G23</f>
        <v>3</v>
      </c>
      <c r="X37" s="54" t="str">
        <f aca="false">IF(OR(W37="",V37=""),"",IF(V37&gt;W37,"I",IF(V37=W37,"X","II")))</f>
        <v>II</v>
      </c>
      <c r="Y37" s="53" t="str">
        <f aca="false">IF($E37="","",IF(X37=$E37,$E$175,0)+IF(AND($C37=V37,$D37=W37),$E$176,0))</f>
        <v/>
      </c>
      <c r="AA37" s="53" t="n">
        <f aca="false">005_Nir2!$F23</f>
        <v>0</v>
      </c>
      <c r="AB37" s="53" t="n">
        <f aca="false">005_Nir2!$G23</f>
        <v>3</v>
      </c>
      <c r="AC37" s="54" t="str">
        <f aca="false">IF(OR(AB37="",AA37=""),"",IF(AA37&gt;AB37,"I",IF(AA37=AB37,"X","II")))</f>
        <v>II</v>
      </c>
      <c r="AD37" s="53" t="str">
        <f aca="false">IF($E37="","",IF(AC37=$E37,$E$175,0)+IF(AND($C37=AA37,$D37=AB37),$E$176,0))</f>
        <v/>
      </c>
      <c r="AF37" s="53" t="n">
        <f aca="false">006_Nir3!$F23</f>
        <v>1</v>
      </c>
      <c r="AG37" s="53" t="n">
        <f aca="false">006_Nir3!$G23</f>
        <v>1</v>
      </c>
      <c r="AH37" s="54" t="str">
        <f aca="false">IF(OR(AG37="",AF37=""),"",IF(AF37&gt;AG37,"I",IF(AF37=AG37,"X","II")))</f>
        <v>X</v>
      </c>
      <c r="AI37" s="53" t="str">
        <f aca="false">IF($E37="","",IF(AH37=$E37,$E$175,0)+IF(AND($C37=AF37,$D37=AG37),$E$176,0))</f>
        <v/>
      </c>
    </row>
    <row r="38" customFormat="false" ht="14.25" hidden="false" customHeight="true" outlineLevel="0" collapsed="false">
      <c r="A38" s="6" t="n">
        <v>18</v>
      </c>
      <c r="B38" s="6" t="s">
        <v>25</v>
      </c>
      <c r="C38" s="52" t="str">
        <f aca="false">IF(Summary!L21="","",Summary!L21)</f>
        <v/>
      </c>
      <c r="D38" s="52" t="str">
        <f aca="false">IF(Summary!M21="","",Summary!M21)</f>
        <v/>
      </c>
      <c r="E38" s="14" t="str">
        <f aca="false">IF(OR(D38="",C38=""),"",IF(C38&gt;D38,"I",IF(C38=D38,"X","II")))</f>
        <v/>
      </c>
      <c r="F38" s="6"/>
      <c r="G38" s="53" t="n">
        <f aca="false">001_MikiZiso3!$F24</f>
        <v>0</v>
      </c>
      <c r="H38" s="53" t="n">
        <f aca="false">001_MikiZiso3!$G24</f>
        <v>2</v>
      </c>
      <c r="I38" s="54" t="str">
        <f aca="false">IF(OR(H38="",G38=""),"",IF(G38&gt;H38,"I",IF(G38=H38,"X","II")))</f>
        <v>II</v>
      </c>
      <c r="J38" s="53" t="str">
        <f aca="false">IF($E38="","",IF(I38=$E38,$E$175,0)+IF(AND($C38=G38,$D38=H38),$E$176,0))</f>
        <v/>
      </c>
      <c r="L38" s="53" t="n">
        <f aca="false">002_MikiZiso2!$F24</f>
        <v>0</v>
      </c>
      <c r="M38" s="53" t="n">
        <f aca="false">002_MikiZiso2!$G24</f>
        <v>2</v>
      </c>
      <c r="N38" s="54" t="str">
        <f aca="false">IF(OR(M38="",L38=""),"",IF(L38&gt;M38,"I",IF(L38=M38,"X","II")))</f>
        <v>II</v>
      </c>
      <c r="O38" s="53" t="str">
        <f aca="false">IF($E38="","",IF(N38=$E38,$E$175,0)+IF(AND($C38=L38,$D38=M38),$E$176,0))</f>
        <v/>
      </c>
      <c r="Q38" s="53" t="n">
        <f aca="false">003_Miki_Ziso!$F24</f>
        <v>0</v>
      </c>
      <c r="R38" s="53" t="n">
        <f aca="false">003_Miki_Ziso!$G24</f>
        <v>2</v>
      </c>
      <c r="S38" s="54" t="str">
        <f aca="false">IF(OR(R38="",Q38=""),"",IF(Q38&gt;R38,"I",IF(Q38=R38,"X","II")))</f>
        <v>II</v>
      </c>
      <c r="T38" s="53" t="str">
        <f aca="false">IF($E38="","",IF(S38=$E38,$E$175,0)+IF(AND($C38=Q38,$D38=R38),$E$176,0))</f>
        <v/>
      </c>
      <c r="V38" s="53" t="n">
        <f aca="false">004_Nir1!$F24</f>
        <v>0</v>
      </c>
      <c r="W38" s="53" t="n">
        <f aca="false">004_Nir1!$G24</f>
        <v>2</v>
      </c>
      <c r="X38" s="54" t="str">
        <f aca="false">IF(OR(W38="",V38=""),"",IF(V38&gt;W38,"I",IF(V38=W38,"X","II")))</f>
        <v>II</v>
      </c>
      <c r="Y38" s="53" t="str">
        <f aca="false">IF($E38="","",IF(X38=$E38,$E$175,0)+IF(AND($C38=V38,$D38=W38),$E$176,0))</f>
        <v/>
      </c>
      <c r="AA38" s="53" t="n">
        <f aca="false">005_Nir2!$F24</f>
        <v>0</v>
      </c>
      <c r="AB38" s="53" t="n">
        <f aca="false">005_Nir2!$G24</f>
        <v>2</v>
      </c>
      <c r="AC38" s="54" t="str">
        <f aca="false">IF(OR(AB38="",AA38=""),"",IF(AA38&gt;AB38,"I",IF(AA38=AB38,"X","II")))</f>
        <v>II</v>
      </c>
      <c r="AD38" s="53" t="str">
        <f aca="false">IF($E38="","",IF(AC38=$E38,$E$175,0)+IF(AND($C38=AA38,$D38=AB38),$E$176,0))</f>
        <v/>
      </c>
      <c r="AF38" s="53" t="n">
        <f aca="false">006_Nir3!$F24</f>
        <v>2</v>
      </c>
      <c r="AG38" s="53" t="n">
        <f aca="false">006_Nir3!$G24</f>
        <v>1</v>
      </c>
      <c r="AH38" s="54" t="str">
        <f aca="false">IF(OR(AG38="",AF38=""),"",IF(AF38&gt;AG38,"I",IF(AF38=AG38,"X","II")))</f>
        <v>I</v>
      </c>
      <c r="AI38" s="53" t="str">
        <f aca="false">IF($E38="","",IF(AH38=$E38,$E$175,0)+IF(AND($C38=AF38,$D38=AG38),$E$176,0))</f>
        <v/>
      </c>
    </row>
    <row r="39" customFormat="false" ht="14.25" hidden="false" customHeight="true" outlineLevel="0" collapsed="false">
      <c r="A39" s="6" t="n">
        <v>19</v>
      </c>
      <c r="B39" s="6" t="s">
        <v>27</v>
      </c>
      <c r="C39" s="52" t="str">
        <f aca="false">IF(Summary!L22="","",Summary!L22)</f>
        <v/>
      </c>
      <c r="D39" s="52" t="str">
        <f aca="false">IF(Summary!M22="","",Summary!M22)</f>
        <v/>
      </c>
      <c r="E39" s="14" t="str">
        <f aca="false">IF(OR(D39="",C39=""),"",IF(C39&gt;D39,"I",IF(C39=D39,"X","II")))</f>
        <v/>
      </c>
      <c r="F39" s="6"/>
      <c r="G39" s="53" t="n">
        <f aca="false">001_MikiZiso3!$F25</f>
        <v>2</v>
      </c>
      <c r="H39" s="53" t="n">
        <f aca="false">001_MikiZiso3!$G25</f>
        <v>0</v>
      </c>
      <c r="I39" s="54" t="str">
        <f aca="false">IF(OR(H39="",G39=""),"",IF(G39&gt;H39,"I",IF(G39=H39,"X","II")))</f>
        <v>I</v>
      </c>
      <c r="J39" s="53" t="str">
        <f aca="false">IF($E39="","",IF(I39=$E39,$E$175,0)+IF(AND($C39=G39,$D39=H39),$E$176,0))</f>
        <v/>
      </c>
      <c r="L39" s="53" t="n">
        <f aca="false">002_MikiZiso2!$F25</f>
        <v>2</v>
      </c>
      <c r="M39" s="53" t="n">
        <f aca="false">002_MikiZiso2!$G25</f>
        <v>0</v>
      </c>
      <c r="N39" s="54" t="str">
        <f aca="false">IF(OR(M39="",L39=""),"",IF(L39&gt;M39,"I",IF(L39=M39,"X","II")))</f>
        <v>I</v>
      </c>
      <c r="O39" s="53" t="str">
        <f aca="false">IF($E39="","",IF(N39=$E39,$E$175,0)+IF(AND($C39=L39,$D39=M39),$E$176,0))</f>
        <v/>
      </c>
      <c r="Q39" s="53" t="n">
        <f aca="false">003_Miki_Ziso!$F25</f>
        <v>2</v>
      </c>
      <c r="R39" s="53" t="n">
        <f aca="false">003_Miki_Ziso!$G25</f>
        <v>0</v>
      </c>
      <c r="S39" s="54" t="str">
        <f aca="false">IF(OR(R39="",Q39=""),"",IF(Q39&gt;R39,"I",IF(Q39=R39,"X","II")))</f>
        <v>I</v>
      </c>
      <c r="T39" s="53" t="str">
        <f aca="false">IF($E39="","",IF(S39=$E39,$E$175,0)+IF(AND($C39=Q39,$D39=R39),$E$176,0))</f>
        <v/>
      </c>
      <c r="V39" s="53" t="n">
        <f aca="false">004_Nir1!$F25</f>
        <v>0</v>
      </c>
      <c r="W39" s="53" t="n">
        <f aca="false">004_Nir1!$G25</f>
        <v>1</v>
      </c>
      <c r="X39" s="54" t="str">
        <f aca="false">IF(OR(W39="",V39=""),"",IF(V39&gt;W39,"I",IF(V39=W39,"X","II")))</f>
        <v>II</v>
      </c>
      <c r="Y39" s="53" t="str">
        <f aca="false">IF($E39="","",IF(X39=$E39,$E$175,0)+IF(AND($C39=V39,$D39=W39),$E$176,0))</f>
        <v/>
      </c>
      <c r="AA39" s="53" t="n">
        <f aca="false">005_Nir2!$F25</f>
        <v>1</v>
      </c>
      <c r="AB39" s="53" t="n">
        <f aca="false">005_Nir2!$G25</f>
        <v>1</v>
      </c>
      <c r="AC39" s="54" t="str">
        <f aca="false">IF(OR(AB39="",AA39=""),"",IF(AA39&gt;AB39,"I",IF(AA39=AB39,"X","II")))</f>
        <v>X</v>
      </c>
      <c r="AD39" s="53" t="str">
        <f aca="false">IF($E39="","",IF(AC39=$E39,$E$175,0)+IF(AND($C39=AA39,$D39=AB39),$E$176,0))</f>
        <v/>
      </c>
      <c r="AF39" s="53" t="n">
        <f aca="false">006_Nir3!$F25</f>
        <v>0</v>
      </c>
      <c r="AG39" s="53" t="n">
        <f aca="false">006_Nir3!$G25</f>
        <v>1</v>
      </c>
      <c r="AH39" s="54" t="str">
        <f aca="false">IF(OR(AG39="",AF39=""),"",IF(AF39&gt;AG39,"I",IF(AF39=AG39,"X","II")))</f>
        <v>II</v>
      </c>
      <c r="AI39" s="53" t="str">
        <f aca="false">IF($E39="","",IF(AH39=$E39,$E$175,0)+IF(AND($C39=AF39,$D39=AG39),$E$176,0))</f>
        <v/>
      </c>
    </row>
    <row r="40" customFormat="false" ht="14.25" hidden="false" customHeight="true" outlineLevel="0" collapsed="false">
      <c r="A40" s="6" t="n">
        <v>20</v>
      </c>
      <c r="B40" s="6" t="s">
        <v>28</v>
      </c>
      <c r="C40" s="52" t="str">
        <f aca="false">IF(Summary!L23="","",Summary!L23)</f>
        <v/>
      </c>
      <c r="D40" s="52" t="str">
        <f aca="false">IF(Summary!M23="","",Summary!M23)</f>
        <v/>
      </c>
      <c r="E40" s="14" t="str">
        <f aca="false">IF(OR(D40="",C40=""),"",IF(C40&gt;D40,"I",IF(C40=D40,"X","II")))</f>
        <v/>
      </c>
      <c r="F40" s="6"/>
      <c r="G40" s="53" t="n">
        <f aca="false">001_MikiZiso3!$F26</f>
        <v>1</v>
      </c>
      <c r="H40" s="53" t="n">
        <f aca="false">001_MikiZiso3!$G26</f>
        <v>0</v>
      </c>
      <c r="I40" s="54" t="str">
        <f aca="false">IF(OR(H40="",G40=""),"",IF(G40&gt;H40,"I",IF(G40=H40,"X","II")))</f>
        <v>I</v>
      </c>
      <c r="J40" s="53" t="str">
        <f aca="false">IF($E40="","",IF(I40=$E40,$E$175,0)+IF(AND($C40=G40,$D40=H40),$E$176,0))</f>
        <v/>
      </c>
      <c r="L40" s="53" t="n">
        <f aca="false">002_MikiZiso2!$F26</f>
        <v>1</v>
      </c>
      <c r="M40" s="53" t="n">
        <f aca="false">002_MikiZiso2!$G26</f>
        <v>0</v>
      </c>
      <c r="N40" s="54" t="str">
        <f aca="false">IF(OR(M40="",L40=""),"",IF(L40&gt;M40,"I",IF(L40=M40,"X","II")))</f>
        <v>I</v>
      </c>
      <c r="O40" s="53" t="str">
        <f aca="false">IF($E40="","",IF(N40=$E40,$E$175,0)+IF(AND($C40=L40,$D40=M40),$E$176,0))</f>
        <v/>
      </c>
      <c r="Q40" s="53" t="n">
        <f aca="false">003_Miki_Ziso!$F26</f>
        <v>1</v>
      </c>
      <c r="R40" s="53" t="n">
        <f aca="false">003_Miki_Ziso!$G26</f>
        <v>0</v>
      </c>
      <c r="S40" s="54" t="str">
        <f aca="false">IF(OR(R40="",Q40=""),"",IF(Q40&gt;R40,"I",IF(Q40=R40,"X","II")))</f>
        <v>I</v>
      </c>
      <c r="T40" s="53" t="str">
        <f aca="false">IF($E40="","",IF(S40=$E40,$E$175,0)+IF(AND($C40=Q40,$D40=R40),$E$176,0))</f>
        <v/>
      </c>
      <c r="V40" s="53" t="n">
        <f aca="false">004_Nir1!$F26</f>
        <v>3</v>
      </c>
      <c r="W40" s="53" t="n">
        <f aca="false">004_Nir1!$G26</f>
        <v>4</v>
      </c>
      <c r="X40" s="54" t="str">
        <f aca="false">IF(OR(W40="",V40=""),"",IF(V40&gt;W40,"I",IF(V40=W40,"X","II")))</f>
        <v>II</v>
      </c>
      <c r="Y40" s="53" t="str">
        <f aca="false">IF($E40="","",IF(X40=$E40,$E$175,0)+IF(AND($C40=V40,$D40=W40),$E$176,0))</f>
        <v/>
      </c>
      <c r="AA40" s="53" t="n">
        <f aca="false">005_Nir2!$F26</f>
        <v>1</v>
      </c>
      <c r="AB40" s="53" t="n">
        <f aca="false">005_Nir2!$G26</f>
        <v>0</v>
      </c>
      <c r="AC40" s="54" t="str">
        <f aca="false">IF(OR(AB40="",AA40=""),"",IF(AA40&gt;AB40,"I",IF(AA40=AB40,"X","II")))</f>
        <v>I</v>
      </c>
      <c r="AD40" s="53" t="str">
        <f aca="false">IF($E40="","",IF(AC40=$E40,$E$175,0)+IF(AND($C40=AA40,$D40=AB40),$E$176,0))</f>
        <v/>
      </c>
      <c r="AF40" s="53" t="n">
        <f aca="false">006_Nir3!$F26</f>
        <v>3</v>
      </c>
      <c r="AG40" s="53" t="n">
        <f aca="false">006_Nir3!$G26</f>
        <v>0</v>
      </c>
      <c r="AH40" s="54" t="str">
        <f aca="false">IF(OR(AG40="",AF40=""),"",IF(AF40&gt;AG40,"I",IF(AF40=AG40,"X","II")))</f>
        <v>I</v>
      </c>
      <c r="AI40" s="53" t="str">
        <f aca="false">IF($E40="","",IF(AH40=$E40,$E$175,0)+IF(AND($C40=AF40,$D40=AG40),$E$176,0))</f>
        <v/>
      </c>
    </row>
    <row r="41" customFormat="false" ht="14.25" hidden="false" customHeight="true" outlineLevel="0" collapsed="false">
      <c r="A41" s="6" t="n">
        <v>21</v>
      </c>
      <c r="B41" s="6" t="s">
        <v>29</v>
      </c>
      <c r="C41" s="52" t="str">
        <f aca="false">IF(Summary!L24="","",Summary!L24)</f>
        <v/>
      </c>
      <c r="D41" s="52" t="str">
        <f aca="false">IF(Summary!M24="","",Summary!M24)</f>
        <v/>
      </c>
      <c r="E41" s="14" t="str">
        <f aca="false">IF(OR(D41="",C41=""),"",IF(C41&gt;D41,"I",IF(C41=D41,"X","II")))</f>
        <v/>
      </c>
      <c r="F41" s="6"/>
      <c r="G41" s="53" t="n">
        <f aca="false">001_MikiZiso3!$F27</f>
        <v>1</v>
      </c>
      <c r="H41" s="53" t="n">
        <f aca="false">001_MikiZiso3!$G27</f>
        <v>0</v>
      </c>
      <c r="I41" s="54" t="str">
        <f aca="false">IF(OR(H41="",G41=""),"",IF(G41&gt;H41,"I",IF(G41=H41,"X","II")))</f>
        <v>I</v>
      </c>
      <c r="J41" s="53" t="str">
        <f aca="false">IF($E41="","",IF(I41=$E41,$E$175,0)+IF(AND($C41=G41,$D41=H41),$E$176,0))</f>
        <v/>
      </c>
      <c r="L41" s="53" t="n">
        <f aca="false">002_MikiZiso2!$F27</f>
        <v>1</v>
      </c>
      <c r="M41" s="53" t="n">
        <f aca="false">002_MikiZiso2!$G27</f>
        <v>0</v>
      </c>
      <c r="N41" s="54" t="str">
        <f aca="false">IF(OR(M41="",L41=""),"",IF(L41&gt;M41,"I",IF(L41=M41,"X","II")))</f>
        <v>I</v>
      </c>
      <c r="O41" s="53" t="str">
        <f aca="false">IF($E41="","",IF(N41=$E41,$E$175,0)+IF(AND($C41=L41,$D41=M41),$E$176,0))</f>
        <v/>
      </c>
      <c r="Q41" s="53" t="n">
        <f aca="false">003_Miki_Ziso!$F27</f>
        <v>1</v>
      </c>
      <c r="R41" s="53" t="n">
        <f aca="false">003_Miki_Ziso!$G27</f>
        <v>0</v>
      </c>
      <c r="S41" s="54" t="str">
        <f aca="false">IF(OR(R41="",Q41=""),"",IF(Q41&gt;R41,"I",IF(Q41=R41,"X","II")))</f>
        <v>I</v>
      </c>
      <c r="T41" s="53" t="str">
        <f aca="false">IF($E41="","",IF(S41=$E41,$E$175,0)+IF(AND($C41=Q41,$D41=R41),$E$176,0))</f>
        <v/>
      </c>
      <c r="V41" s="53" t="n">
        <f aca="false">004_Nir1!$F27</f>
        <v>3</v>
      </c>
      <c r="W41" s="53" t="n">
        <f aca="false">004_Nir1!$G27</f>
        <v>0</v>
      </c>
      <c r="X41" s="54" t="str">
        <f aca="false">IF(OR(W41="",V41=""),"",IF(V41&gt;W41,"I",IF(V41=W41,"X","II")))</f>
        <v>I</v>
      </c>
      <c r="Y41" s="53" t="str">
        <f aca="false">IF($E41="","",IF(X41=$E41,$E$175,0)+IF(AND($C41=V41,$D41=W41),$E$176,0))</f>
        <v/>
      </c>
      <c r="AA41" s="53" t="n">
        <f aca="false">005_Nir2!$F27</f>
        <v>1</v>
      </c>
      <c r="AB41" s="53" t="n">
        <f aca="false">005_Nir2!$G27</f>
        <v>1</v>
      </c>
      <c r="AC41" s="54" t="str">
        <f aca="false">IF(OR(AB41="",AA41=""),"",IF(AA41&gt;AB41,"I",IF(AA41=AB41,"X","II")))</f>
        <v>X</v>
      </c>
      <c r="AD41" s="53" t="str">
        <f aca="false">IF($E41="","",IF(AC41=$E41,$E$175,0)+IF(AND($C41=AA41,$D41=AB41),$E$176,0))</f>
        <v/>
      </c>
      <c r="AF41" s="53" t="n">
        <f aca="false">006_Nir3!$F27</f>
        <v>2</v>
      </c>
      <c r="AG41" s="53" t="n">
        <f aca="false">006_Nir3!$G27</f>
        <v>0</v>
      </c>
      <c r="AH41" s="54" t="str">
        <f aca="false">IF(OR(AG41="",AF41=""),"",IF(AF41&gt;AG41,"I",IF(AF41=AG41,"X","II")))</f>
        <v>I</v>
      </c>
      <c r="AI41" s="53" t="str">
        <f aca="false">IF($E41="","",IF(AH41=$E41,$E$175,0)+IF(AND($C41=AF41,$D41=AG41),$E$176,0))</f>
        <v/>
      </c>
    </row>
    <row r="42" customFormat="false" ht="14.25" hidden="false" customHeight="true" outlineLevel="0" collapsed="false">
      <c r="A42" s="6" t="n">
        <v>22</v>
      </c>
      <c r="B42" s="6" t="s">
        <v>30</v>
      </c>
      <c r="C42" s="52" t="str">
        <f aca="false">IF(Summary!L25="","",Summary!L25)</f>
        <v/>
      </c>
      <c r="D42" s="52" t="str">
        <f aca="false">IF(Summary!M25="","",Summary!M25)</f>
        <v/>
      </c>
      <c r="E42" s="14" t="str">
        <f aca="false">IF(OR(D42="",C42=""),"",IF(C42&gt;D42,"I",IF(C42=D42,"X","II")))</f>
        <v/>
      </c>
      <c r="F42" s="6"/>
      <c r="G42" s="53" t="n">
        <f aca="false">001_MikiZiso3!$F28</f>
        <v>2</v>
      </c>
      <c r="H42" s="53" t="n">
        <f aca="false">001_MikiZiso3!$G28</f>
        <v>3</v>
      </c>
      <c r="I42" s="54" t="str">
        <f aca="false">IF(OR(H42="",G42=""),"",IF(G42&gt;H42,"I",IF(G42=H42,"X","II")))</f>
        <v>II</v>
      </c>
      <c r="J42" s="53" t="str">
        <f aca="false">IF($E42="","",IF(I42=$E42,$E$175,0)+IF(AND($C42=G42,$D42=H42),$E$176,0))</f>
        <v/>
      </c>
      <c r="L42" s="53" t="n">
        <f aca="false">002_MikiZiso2!$F28</f>
        <v>2</v>
      </c>
      <c r="M42" s="53" t="n">
        <f aca="false">002_MikiZiso2!$G28</f>
        <v>1</v>
      </c>
      <c r="N42" s="54" t="str">
        <f aca="false">IF(OR(M42="",L42=""),"",IF(L42&gt;M42,"I",IF(L42=M42,"X","II")))</f>
        <v>I</v>
      </c>
      <c r="O42" s="53" t="str">
        <f aca="false">IF($E42="","",IF(N42=$E42,$E$175,0)+IF(AND($C42=L42,$D42=M42),$E$176,0))</f>
        <v/>
      </c>
      <c r="Q42" s="53" t="n">
        <f aca="false">003_Miki_Ziso!$F28</f>
        <v>1</v>
      </c>
      <c r="R42" s="53" t="n">
        <f aca="false">003_Miki_Ziso!$G28</f>
        <v>1</v>
      </c>
      <c r="S42" s="54" t="str">
        <f aca="false">IF(OR(R42="",Q42=""),"",IF(Q42&gt;R42,"I",IF(Q42=R42,"X","II")))</f>
        <v>X</v>
      </c>
      <c r="T42" s="53" t="str">
        <f aca="false">IF($E42="","",IF(S42=$E42,$E$175,0)+IF(AND($C42=Q42,$D42=R42),$E$176,0))</f>
        <v/>
      </c>
      <c r="V42" s="53" t="n">
        <f aca="false">004_Nir1!$F28</f>
        <v>3</v>
      </c>
      <c r="W42" s="53" t="n">
        <f aca="false">004_Nir1!$G28</f>
        <v>0</v>
      </c>
      <c r="X42" s="54" t="str">
        <f aca="false">IF(OR(W42="",V42=""),"",IF(V42&gt;W42,"I",IF(V42=W42,"X","II")))</f>
        <v>I</v>
      </c>
      <c r="Y42" s="53" t="str">
        <f aca="false">IF($E42="","",IF(X42=$E42,$E$175,0)+IF(AND($C42=V42,$D42=W42),$E$176,0))</f>
        <v/>
      </c>
      <c r="AA42" s="53" t="n">
        <f aca="false">005_Nir2!$F28</f>
        <v>1</v>
      </c>
      <c r="AB42" s="53" t="n">
        <f aca="false">005_Nir2!$G28</f>
        <v>0</v>
      </c>
      <c r="AC42" s="54" t="str">
        <f aca="false">IF(OR(AB42="",AA42=""),"",IF(AA42&gt;AB42,"I",IF(AA42=AB42,"X","II")))</f>
        <v>I</v>
      </c>
      <c r="AD42" s="53" t="str">
        <f aca="false">IF($E42="","",IF(AC42=$E42,$E$175,0)+IF(AND($C42=AA42,$D42=AB42),$E$176,0))</f>
        <v/>
      </c>
      <c r="AF42" s="53" t="n">
        <f aca="false">006_Nir3!$F28</f>
        <v>1</v>
      </c>
      <c r="AG42" s="53" t="n">
        <f aca="false">006_Nir3!$G28</f>
        <v>0</v>
      </c>
      <c r="AH42" s="54" t="str">
        <f aca="false">IF(OR(AG42="",AF42=""),"",IF(AF42&gt;AG42,"I",IF(AF42=AG42,"X","II")))</f>
        <v>I</v>
      </c>
      <c r="AI42" s="53" t="str">
        <f aca="false">IF($E42="","",IF(AH42=$E42,$E$175,0)+IF(AND($C42=AF42,$D42=AG42),$E$176,0))</f>
        <v/>
      </c>
    </row>
    <row r="43" customFormat="false" ht="14.25" hidden="false" customHeight="true" outlineLevel="0" collapsed="false">
      <c r="A43" s="6" t="n">
        <v>23</v>
      </c>
      <c r="B43" s="6" t="s">
        <v>31</v>
      </c>
      <c r="C43" s="52" t="str">
        <f aca="false">IF(Summary!L26="","",Summary!L26)</f>
        <v/>
      </c>
      <c r="D43" s="52" t="str">
        <f aca="false">IF(Summary!M26="","",Summary!M26)</f>
        <v/>
      </c>
      <c r="E43" s="14" t="str">
        <f aca="false">IF(OR(D43="",C43=""),"",IF(C43&gt;D43,"I",IF(C43=D43,"X","II")))</f>
        <v/>
      </c>
      <c r="F43" s="6"/>
      <c r="G43" s="53" t="n">
        <f aca="false">001_MikiZiso3!$F29</f>
        <v>6</v>
      </c>
      <c r="H43" s="53" t="n">
        <f aca="false">001_MikiZiso3!$G29</f>
        <v>1</v>
      </c>
      <c r="I43" s="54" t="str">
        <f aca="false">IF(OR(H43="",G43=""),"",IF(G43&gt;H43,"I",IF(G43=H43,"X","II")))</f>
        <v>I</v>
      </c>
      <c r="J43" s="53" t="str">
        <f aca="false">IF($E43="","",IF(I43=$E43,$E$175,0)+IF(AND($C43=G43,$D43=H43),$E$176,0))</f>
        <v/>
      </c>
      <c r="L43" s="53" t="n">
        <f aca="false">002_MikiZiso2!$F29</f>
        <v>6</v>
      </c>
      <c r="M43" s="53" t="n">
        <f aca="false">002_MikiZiso2!$G29</f>
        <v>1</v>
      </c>
      <c r="N43" s="54" t="str">
        <f aca="false">IF(OR(M43="",L43=""),"",IF(L43&gt;M43,"I",IF(L43=M43,"X","II")))</f>
        <v>I</v>
      </c>
      <c r="O43" s="53" t="str">
        <f aca="false">IF($E43="","",IF(N43=$E43,$E$175,0)+IF(AND($C43=L43,$D43=M43),$E$176,0))</f>
        <v/>
      </c>
      <c r="Q43" s="53" t="n">
        <f aca="false">003_Miki_Ziso!$F29</f>
        <v>0</v>
      </c>
      <c r="R43" s="53" t="n">
        <f aca="false">003_Miki_Ziso!$G29</f>
        <v>1</v>
      </c>
      <c r="S43" s="54" t="str">
        <f aca="false">IF(OR(R43="",Q43=""),"",IF(Q43&gt;R43,"I",IF(Q43=R43,"X","II")))</f>
        <v>II</v>
      </c>
      <c r="T43" s="53" t="str">
        <f aca="false">IF($E43="","",IF(S43=$E43,$E$175,0)+IF(AND($C43=Q43,$D43=R43),$E$176,0))</f>
        <v/>
      </c>
      <c r="V43" s="53" t="n">
        <f aca="false">004_Nir1!$F29</f>
        <v>2</v>
      </c>
      <c r="W43" s="53" t="n">
        <f aca="false">004_Nir1!$G29</f>
        <v>0</v>
      </c>
      <c r="X43" s="54" t="str">
        <f aca="false">IF(OR(W43="",V43=""),"",IF(V43&gt;W43,"I",IF(V43=W43,"X","II")))</f>
        <v>I</v>
      </c>
      <c r="Y43" s="53" t="str">
        <f aca="false">IF($E43="","",IF(X43=$E43,$E$175,0)+IF(AND($C43=V43,$D43=W43),$E$176,0))</f>
        <v/>
      </c>
      <c r="AA43" s="53" t="n">
        <f aca="false">005_Nir2!$F29</f>
        <v>2</v>
      </c>
      <c r="AB43" s="53" t="n">
        <f aca="false">005_Nir2!$G29</f>
        <v>5</v>
      </c>
      <c r="AC43" s="54" t="str">
        <f aca="false">IF(OR(AB43="",AA43=""),"",IF(AA43&gt;AB43,"I",IF(AA43=AB43,"X","II")))</f>
        <v>II</v>
      </c>
      <c r="AD43" s="53" t="str">
        <f aca="false">IF($E43="","",IF(AC43=$E43,$E$175,0)+IF(AND($C43=AA43,$D43=AB43),$E$176,0))</f>
        <v/>
      </c>
      <c r="AF43" s="53" t="n">
        <f aca="false">006_Nir3!$F29</f>
        <v>4</v>
      </c>
      <c r="AG43" s="53" t="n">
        <f aca="false">006_Nir3!$G29</f>
        <v>1</v>
      </c>
      <c r="AH43" s="54" t="str">
        <f aca="false">IF(OR(AG43="",AF43=""),"",IF(AF43&gt;AG43,"I",IF(AF43=AG43,"X","II")))</f>
        <v>I</v>
      </c>
      <c r="AI43" s="53" t="str">
        <f aca="false">IF($E43="","",IF(AH43=$E43,$E$175,0)+IF(AND($C43=AF43,$D43=AG43),$E$176,0))</f>
        <v/>
      </c>
    </row>
    <row r="44" customFormat="false" ht="14.25" hidden="false" customHeight="true" outlineLevel="0" collapsed="false">
      <c r="A44" s="6" t="n">
        <v>24</v>
      </c>
      <c r="B44" s="6" t="s">
        <v>32</v>
      </c>
      <c r="C44" s="52" t="str">
        <f aca="false">IF(Summary!L27="","",Summary!L27)</f>
        <v/>
      </c>
      <c r="D44" s="52" t="str">
        <f aca="false">IF(Summary!M27="","",Summary!M27)</f>
        <v/>
      </c>
      <c r="E44" s="14" t="str">
        <f aca="false">IF(OR(D44="",C44=""),"",IF(C44&gt;D44,"I",IF(C44=D44,"X","II")))</f>
        <v/>
      </c>
      <c r="F44" s="6"/>
      <c r="G44" s="53" t="n">
        <f aca="false">001_MikiZiso3!$F30</f>
        <v>1</v>
      </c>
      <c r="H44" s="53" t="n">
        <f aca="false">001_MikiZiso3!$G30</f>
        <v>1</v>
      </c>
      <c r="I44" s="54" t="str">
        <f aca="false">IF(OR(H44="",G44=""),"",IF(G44&gt;H44,"I",IF(G44=H44,"X","II")))</f>
        <v>X</v>
      </c>
      <c r="J44" s="53" t="str">
        <f aca="false">IF($E44="","",IF(I44=$E44,$E$175,0)+IF(AND($C44=G44,$D44=H44),$E$176,0))</f>
        <v/>
      </c>
      <c r="L44" s="53" t="n">
        <f aca="false">002_MikiZiso2!$F30</f>
        <v>1</v>
      </c>
      <c r="M44" s="53" t="n">
        <f aca="false">002_MikiZiso2!$G30</f>
        <v>1</v>
      </c>
      <c r="N44" s="54" t="str">
        <f aca="false">IF(OR(M44="",L44=""),"",IF(L44&gt;M44,"I",IF(L44=M44,"X","II")))</f>
        <v>X</v>
      </c>
      <c r="O44" s="53" t="str">
        <f aca="false">IF($E44="","",IF(N44=$E44,$E$175,0)+IF(AND($C44=L44,$D44=M44),$E$176,0))</f>
        <v/>
      </c>
      <c r="Q44" s="53" t="n">
        <f aca="false">003_Miki_Ziso!$F30</f>
        <v>1</v>
      </c>
      <c r="R44" s="53" t="n">
        <f aca="false">003_Miki_Ziso!$G30</f>
        <v>1</v>
      </c>
      <c r="S44" s="54" t="str">
        <f aca="false">IF(OR(R44="",Q44=""),"",IF(Q44&gt;R44,"I",IF(Q44=R44,"X","II")))</f>
        <v>X</v>
      </c>
      <c r="T44" s="53" t="str">
        <f aca="false">IF($E44="","",IF(S44=$E44,$E$175,0)+IF(AND($C44=Q44,$D44=R44),$E$176,0))</f>
        <v/>
      </c>
      <c r="V44" s="53" t="n">
        <f aca="false">004_Nir1!$F30</f>
        <v>2</v>
      </c>
      <c r="W44" s="53" t="n">
        <f aca="false">004_Nir1!$G30</f>
        <v>0</v>
      </c>
      <c r="X44" s="54" t="str">
        <f aca="false">IF(OR(W44="",V44=""),"",IF(V44&gt;W44,"I",IF(V44=W44,"X","II")))</f>
        <v>I</v>
      </c>
      <c r="Y44" s="53" t="str">
        <f aca="false">IF($E44="","",IF(X44=$E44,$E$175,0)+IF(AND($C44=V44,$D44=W44),$E$176,0))</f>
        <v/>
      </c>
      <c r="AA44" s="53" t="n">
        <f aca="false">005_Nir2!$F30</f>
        <v>3</v>
      </c>
      <c r="AB44" s="53" t="n">
        <f aca="false">005_Nir2!$G30</f>
        <v>4</v>
      </c>
      <c r="AC44" s="54" t="str">
        <f aca="false">IF(OR(AB44="",AA44=""),"",IF(AA44&gt;AB44,"I",IF(AA44=AB44,"X","II")))</f>
        <v>II</v>
      </c>
      <c r="AD44" s="53" t="str">
        <f aca="false">IF($E44="","",IF(AC44=$E44,$E$175,0)+IF(AND($C44=AA44,$D44=AB44),$E$176,0))</f>
        <v/>
      </c>
      <c r="AF44" s="53" t="n">
        <f aca="false">006_Nir3!$F30</f>
        <v>5</v>
      </c>
      <c r="AG44" s="53" t="n">
        <f aca="false">006_Nir3!$G30</f>
        <v>1</v>
      </c>
      <c r="AH44" s="54" t="str">
        <f aca="false">IF(OR(AG44="",AF44=""),"",IF(AF44&gt;AG44,"I",IF(AF44=AG44,"X","II")))</f>
        <v>I</v>
      </c>
      <c r="AI44" s="53" t="str">
        <f aca="false">IF($E44="","",IF(AH44=$E44,$E$175,0)+IF(AND($C44=AF44,$D44=AG44),$E$176,0))</f>
        <v/>
      </c>
    </row>
    <row r="45" customFormat="false" ht="14.25" hidden="false" customHeight="true" outlineLevel="0" collapsed="false">
      <c r="A45" s="6" t="n">
        <v>25</v>
      </c>
      <c r="B45" s="6" t="s">
        <v>33</v>
      </c>
      <c r="C45" s="52" t="str">
        <f aca="false">IF(Summary!L28="","",Summary!L28)</f>
        <v/>
      </c>
      <c r="D45" s="52" t="str">
        <f aca="false">IF(Summary!M28="","",Summary!M28)</f>
        <v/>
      </c>
      <c r="E45" s="14" t="str">
        <f aca="false">IF(OR(D45="",C45=""),"",IF(C45&gt;D45,"I",IF(C45=D45,"X","II")))</f>
        <v/>
      </c>
      <c r="F45" s="6"/>
      <c r="G45" s="53" t="n">
        <f aca="false">001_MikiZiso3!$F31</f>
        <v>1</v>
      </c>
      <c r="H45" s="53" t="n">
        <f aca="false">001_MikiZiso3!$G31</f>
        <v>2</v>
      </c>
      <c r="I45" s="54" t="str">
        <f aca="false">IF(OR(H45="",G45=""),"",IF(G45&gt;H45,"I",IF(G45=H45,"X","II")))</f>
        <v>II</v>
      </c>
      <c r="J45" s="53" t="str">
        <f aca="false">IF($E45="","",IF(I45=$E45,$E$175,0)+IF(AND($C45=G45,$D45=H45),$E$176,0))</f>
        <v/>
      </c>
      <c r="L45" s="53" t="n">
        <f aca="false">002_MikiZiso2!$F31</f>
        <v>1</v>
      </c>
      <c r="M45" s="53" t="n">
        <f aca="false">002_MikiZiso2!$G31</f>
        <v>2</v>
      </c>
      <c r="N45" s="54" t="str">
        <f aca="false">IF(OR(M45="",L45=""),"",IF(L45&gt;M45,"I",IF(L45=M45,"X","II")))</f>
        <v>II</v>
      </c>
      <c r="O45" s="53" t="str">
        <f aca="false">IF($E45="","",IF(N45=$E45,$E$175,0)+IF(AND($C45=L45,$D45=M45),$E$176,0))</f>
        <v/>
      </c>
      <c r="Q45" s="53" t="n">
        <f aca="false">003_Miki_Ziso!$F31</f>
        <v>1</v>
      </c>
      <c r="R45" s="53" t="n">
        <f aca="false">003_Miki_Ziso!$G31</f>
        <v>2</v>
      </c>
      <c r="S45" s="54" t="str">
        <f aca="false">IF(OR(R45="",Q45=""),"",IF(Q45&gt;R45,"I",IF(Q45=R45,"X","II")))</f>
        <v>II</v>
      </c>
      <c r="T45" s="53" t="str">
        <f aca="false">IF($E45="","",IF(S45=$E45,$E$175,0)+IF(AND($C45=Q45,$D45=R45),$E$176,0))</f>
        <v/>
      </c>
      <c r="V45" s="53" t="n">
        <f aca="false">004_Nir1!$F31</f>
        <v>2</v>
      </c>
      <c r="W45" s="53" t="n">
        <f aca="false">004_Nir1!$G31</f>
        <v>1</v>
      </c>
      <c r="X45" s="54" t="str">
        <f aca="false">IF(OR(W45="",V45=""),"",IF(V45&gt;W45,"I",IF(V45=W45,"X","II")))</f>
        <v>I</v>
      </c>
      <c r="Y45" s="53" t="str">
        <f aca="false">IF($E45="","",IF(X45=$E45,$E$175,0)+IF(AND($C45=V45,$D45=W45),$E$176,0))</f>
        <v/>
      </c>
      <c r="AA45" s="53" t="n">
        <f aca="false">005_Nir2!$F31</f>
        <v>2</v>
      </c>
      <c r="AB45" s="53" t="n">
        <f aca="false">005_Nir2!$G31</f>
        <v>3</v>
      </c>
      <c r="AC45" s="54" t="str">
        <f aca="false">IF(OR(AB45="",AA45=""),"",IF(AA45&gt;AB45,"I",IF(AA45=AB45,"X","II")))</f>
        <v>II</v>
      </c>
      <c r="AD45" s="53" t="str">
        <f aca="false">IF($E45="","",IF(AC45=$E45,$E$175,0)+IF(AND($C45=AA45,$D45=AB45),$E$176,0))</f>
        <v/>
      </c>
      <c r="AF45" s="53" t="n">
        <f aca="false">006_Nir3!$F31</f>
        <v>0</v>
      </c>
      <c r="AG45" s="53" t="n">
        <f aca="false">006_Nir3!$G31</f>
        <v>1</v>
      </c>
      <c r="AH45" s="54" t="str">
        <f aca="false">IF(OR(AG45="",AF45=""),"",IF(AF45&gt;AG45,"I",IF(AF45=AG45,"X","II")))</f>
        <v>II</v>
      </c>
      <c r="AI45" s="53" t="str">
        <f aca="false">IF($E45="","",IF(AH45=$E45,$E$175,0)+IF(AND($C45=AF45,$D45=AG45),$E$176,0))</f>
        <v/>
      </c>
    </row>
    <row r="46" customFormat="false" ht="14.25" hidden="false" customHeight="true" outlineLevel="0" collapsed="false">
      <c r="A46" s="6" t="n">
        <v>26</v>
      </c>
      <c r="B46" s="6" t="s">
        <v>34</v>
      </c>
      <c r="C46" s="52" t="str">
        <f aca="false">IF(Summary!L29="","",Summary!L29)</f>
        <v/>
      </c>
      <c r="D46" s="52" t="str">
        <f aca="false">IF(Summary!M29="","",Summary!M29)</f>
        <v/>
      </c>
      <c r="E46" s="14" t="str">
        <f aca="false">IF(OR(D46="",C46=""),"",IF(C46&gt;D46,"I",IF(C46=D46,"X","II")))</f>
        <v/>
      </c>
      <c r="F46" s="6"/>
      <c r="G46" s="53" t="n">
        <f aca="false">001_MikiZiso3!$F32</f>
        <v>2</v>
      </c>
      <c r="H46" s="53" t="n">
        <f aca="false">001_MikiZiso3!$G32</f>
        <v>2</v>
      </c>
      <c r="I46" s="54" t="str">
        <f aca="false">IF(OR(H46="",G46=""),"",IF(G46&gt;H46,"I",IF(G46=H46,"X","II")))</f>
        <v>X</v>
      </c>
      <c r="J46" s="53" t="str">
        <f aca="false">IF($E46="","",IF(I46=$E46,$E$175,0)+IF(AND($C46=G46,$D46=H46),$E$176,0))</f>
        <v/>
      </c>
      <c r="L46" s="53" t="n">
        <f aca="false">002_MikiZiso2!$F32</f>
        <v>2</v>
      </c>
      <c r="M46" s="53" t="n">
        <f aca="false">002_MikiZiso2!$G32</f>
        <v>2</v>
      </c>
      <c r="N46" s="54" t="str">
        <f aca="false">IF(OR(M46="",L46=""),"",IF(L46&gt;M46,"I",IF(L46=M46,"X","II")))</f>
        <v>X</v>
      </c>
      <c r="O46" s="53" t="str">
        <f aca="false">IF($E46="","",IF(N46=$E46,$E$175,0)+IF(AND($C46=L46,$D46=M46),$E$176,0))</f>
        <v/>
      </c>
      <c r="Q46" s="53" t="n">
        <f aca="false">003_Miki_Ziso!$F32</f>
        <v>2</v>
      </c>
      <c r="R46" s="53" t="n">
        <f aca="false">003_Miki_Ziso!$G32</f>
        <v>2</v>
      </c>
      <c r="S46" s="54" t="str">
        <f aca="false">IF(OR(R46="",Q46=""),"",IF(Q46&gt;R46,"I",IF(Q46=R46,"X","II")))</f>
        <v>X</v>
      </c>
      <c r="T46" s="53" t="str">
        <f aca="false">IF($E46="","",IF(S46=$E46,$E$175,0)+IF(AND($C46=Q46,$D46=R46),$E$176,0))</f>
        <v/>
      </c>
      <c r="V46" s="53" t="n">
        <f aca="false">004_Nir1!$F32</f>
        <v>1</v>
      </c>
      <c r="W46" s="53" t="n">
        <f aca="false">004_Nir1!$G32</f>
        <v>2</v>
      </c>
      <c r="X46" s="54" t="str">
        <f aca="false">IF(OR(W46="",V46=""),"",IF(V46&gt;W46,"I",IF(V46=W46,"X","II")))</f>
        <v>II</v>
      </c>
      <c r="Y46" s="53" t="str">
        <f aca="false">IF($E46="","",IF(X46=$E46,$E$175,0)+IF(AND($C46=V46,$D46=W46),$E$176,0))</f>
        <v/>
      </c>
      <c r="AA46" s="53" t="n">
        <f aca="false">005_Nir2!$F32</f>
        <v>1</v>
      </c>
      <c r="AB46" s="53" t="n">
        <f aca="false">005_Nir2!$G32</f>
        <v>4</v>
      </c>
      <c r="AC46" s="54" t="str">
        <f aca="false">IF(OR(AB46="",AA46=""),"",IF(AA46&gt;AB46,"I",IF(AA46=AB46,"X","II")))</f>
        <v>II</v>
      </c>
      <c r="AD46" s="53" t="str">
        <f aca="false">IF($E46="","",IF(AC46=$E46,$E$175,0)+IF(AND($C46=AA46,$D46=AB46),$E$176,0))</f>
        <v/>
      </c>
      <c r="AF46" s="53" t="n">
        <f aca="false">006_Nir3!$F32</f>
        <v>1</v>
      </c>
      <c r="AG46" s="53" t="n">
        <f aca="false">006_Nir3!$G32</f>
        <v>2</v>
      </c>
      <c r="AH46" s="54" t="str">
        <f aca="false">IF(OR(AG46="",AF46=""),"",IF(AF46&gt;AG46,"I",IF(AF46=AG46,"X","II")))</f>
        <v>II</v>
      </c>
      <c r="AI46" s="53" t="str">
        <f aca="false">IF($E46="","",IF(AH46=$E46,$E$175,0)+IF(AND($C46=AF46,$D46=AG46),$E$176,0))</f>
        <v/>
      </c>
    </row>
    <row r="47" customFormat="false" ht="14.25" hidden="false" customHeight="true" outlineLevel="0" collapsed="false">
      <c r="A47" s="6" t="n">
        <v>27</v>
      </c>
      <c r="B47" s="6" t="s">
        <v>35</v>
      </c>
      <c r="C47" s="52" t="str">
        <f aca="false">IF(Summary!L30="","",Summary!L30)</f>
        <v/>
      </c>
      <c r="D47" s="52" t="str">
        <f aca="false">IF(Summary!M30="","",Summary!M30)</f>
        <v/>
      </c>
      <c r="E47" s="14" t="str">
        <f aca="false">IF(OR(D47="",C47=""),"",IF(C47&gt;D47,"I",IF(C47=D47,"X","II")))</f>
        <v/>
      </c>
      <c r="F47" s="6"/>
      <c r="G47" s="53" t="n">
        <f aca="false">001_MikiZiso3!$F33</f>
        <v>2</v>
      </c>
      <c r="H47" s="53" t="n">
        <f aca="false">001_MikiZiso3!$G33</f>
        <v>1</v>
      </c>
      <c r="I47" s="54" t="str">
        <f aca="false">IF(OR(H47="",G47=""),"",IF(G47&gt;H47,"I",IF(G47=H47,"X","II")))</f>
        <v>I</v>
      </c>
      <c r="J47" s="53" t="str">
        <f aca="false">IF($E47="","",IF(I47=$E47,$E$175,0)+IF(AND($C47=G47,$D47=H47),$E$176,0))</f>
        <v/>
      </c>
      <c r="L47" s="53" t="n">
        <f aca="false">002_MikiZiso2!$F33</f>
        <v>2</v>
      </c>
      <c r="M47" s="53" t="n">
        <f aca="false">002_MikiZiso2!$G33</f>
        <v>1</v>
      </c>
      <c r="N47" s="54" t="str">
        <f aca="false">IF(OR(M47="",L47=""),"",IF(L47&gt;M47,"I",IF(L47=M47,"X","II")))</f>
        <v>I</v>
      </c>
      <c r="O47" s="53" t="str">
        <f aca="false">IF($E47="","",IF(N47=$E47,$E$175,0)+IF(AND($C47=L47,$D47=M47),$E$176,0))</f>
        <v/>
      </c>
      <c r="Q47" s="53" t="n">
        <f aca="false">003_Miki_Ziso!$F33</f>
        <v>2</v>
      </c>
      <c r="R47" s="53" t="n">
        <f aca="false">003_Miki_Ziso!$G33</f>
        <v>1</v>
      </c>
      <c r="S47" s="54" t="str">
        <f aca="false">IF(OR(R47="",Q47=""),"",IF(Q47&gt;R47,"I",IF(Q47=R47,"X","II")))</f>
        <v>I</v>
      </c>
      <c r="T47" s="53" t="str">
        <f aca="false">IF($E47="","",IF(S47=$E47,$E$175,0)+IF(AND($C47=Q47,$D47=R47),$E$176,0))</f>
        <v/>
      </c>
      <c r="V47" s="53" t="n">
        <f aca="false">004_Nir1!$F33</f>
        <v>0</v>
      </c>
      <c r="W47" s="53" t="n">
        <f aca="false">004_Nir1!$G33</f>
        <v>3</v>
      </c>
      <c r="X47" s="54" t="str">
        <f aca="false">IF(OR(W47="",V47=""),"",IF(V47&gt;W47,"I",IF(V47=W47,"X","II")))</f>
        <v>II</v>
      </c>
      <c r="Y47" s="53" t="str">
        <f aca="false">IF($E47="","",IF(X47=$E47,$E$175,0)+IF(AND($C47=V47,$D47=W47),$E$176,0))</f>
        <v/>
      </c>
      <c r="AA47" s="53" t="n">
        <f aca="false">005_Nir2!$F33</f>
        <v>4</v>
      </c>
      <c r="AB47" s="53" t="n">
        <f aca="false">005_Nir2!$G33</f>
        <v>2</v>
      </c>
      <c r="AC47" s="54" t="str">
        <f aca="false">IF(OR(AB47="",AA47=""),"",IF(AA47&gt;AB47,"I",IF(AA47=AB47,"X","II")))</f>
        <v>I</v>
      </c>
      <c r="AD47" s="53" t="str">
        <f aca="false">IF($E47="","",IF(AC47=$E47,$E$175,0)+IF(AND($C47=AA47,$D47=AB47),$E$176,0))</f>
        <v/>
      </c>
      <c r="AF47" s="53" t="n">
        <f aca="false">006_Nir3!$F33</f>
        <v>2</v>
      </c>
      <c r="AG47" s="53" t="n">
        <f aca="false">006_Nir3!$G33</f>
        <v>1</v>
      </c>
      <c r="AH47" s="54" t="str">
        <f aca="false">IF(OR(AG47="",AF47=""),"",IF(AF47&gt;AG47,"I",IF(AF47=AG47,"X","II")))</f>
        <v>I</v>
      </c>
      <c r="AI47" s="53" t="str">
        <f aca="false">IF($E47="","",IF(AH47=$E47,$E$175,0)+IF(AND($C47=AF47,$D47=AG47),$E$176,0))</f>
        <v/>
      </c>
    </row>
    <row r="48" customFormat="false" ht="14.25" hidden="false" customHeight="true" outlineLevel="0" collapsed="false">
      <c r="A48" s="6" t="n">
        <v>28</v>
      </c>
      <c r="B48" s="6" t="s">
        <v>36</v>
      </c>
      <c r="C48" s="52" t="str">
        <f aca="false">IF(Summary!L31="","",Summary!L31)</f>
        <v/>
      </c>
      <c r="D48" s="52" t="str">
        <f aca="false">IF(Summary!M31="","",Summary!M31)</f>
        <v/>
      </c>
      <c r="E48" s="14" t="str">
        <f aca="false">IF(OR(D48="",C48=""),"",IF(C48&gt;D48,"I",IF(C48=D48,"X","II")))</f>
        <v/>
      </c>
      <c r="F48" s="6"/>
      <c r="G48" s="53" t="n">
        <f aca="false">001_MikiZiso3!$F34</f>
        <v>1</v>
      </c>
      <c r="H48" s="53" t="n">
        <f aca="false">001_MikiZiso3!$G34</f>
        <v>0</v>
      </c>
      <c r="I48" s="54" t="str">
        <f aca="false">IF(OR(H48="",G48=""),"",IF(G48&gt;H48,"I",IF(G48=H48,"X","II")))</f>
        <v>I</v>
      </c>
      <c r="J48" s="53" t="str">
        <f aca="false">IF($E48="","",IF(I48=$E48,$E$175,0)+IF(AND($C48=G48,$D48=H48),$E$176,0))</f>
        <v/>
      </c>
      <c r="L48" s="53" t="n">
        <f aca="false">002_MikiZiso2!$F34</f>
        <v>1</v>
      </c>
      <c r="M48" s="53" t="n">
        <f aca="false">002_MikiZiso2!$G34</f>
        <v>0</v>
      </c>
      <c r="N48" s="54" t="str">
        <f aca="false">IF(OR(M48="",L48=""),"",IF(L48&gt;M48,"I",IF(L48=M48,"X","II")))</f>
        <v>I</v>
      </c>
      <c r="O48" s="53" t="str">
        <f aca="false">IF($E48="","",IF(N48=$E48,$E$175,0)+IF(AND($C48=L48,$D48=M48),$E$176,0))</f>
        <v/>
      </c>
      <c r="Q48" s="53" t="n">
        <f aca="false">003_Miki_Ziso!$F34</f>
        <v>1</v>
      </c>
      <c r="R48" s="53" t="n">
        <f aca="false">003_Miki_Ziso!$G34</f>
        <v>0</v>
      </c>
      <c r="S48" s="54" t="str">
        <f aca="false">IF(OR(R48="",Q48=""),"",IF(Q48&gt;R48,"I",IF(Q48=R48,"X","II")))</f>
        <v>I</v>
      </c>
      <c r="T48" s="53" t="str">
        <f aca="false">IF($E48="","",IF(S48=$E48,$E$175,0)+IF(AND($C48=Q48,$D48=R48),$E$176,0))</f>
        <v/>
      </c>
      <c r="V48" s="53" t="n">
        <f aca="false">004_Nir1!$F34</f>
        <v>0</v>
      </c>
      <c r="W48" s="53" t="n">
        <f aca="false">004_Nir1!$G34</f>
        <v>1</v>
      </c>
      <c r="X48" s="54" t="str">
        <f aca="false">IF(OR(W48="",V48=""),"",IF(V48&gt;W48,"I",IF(V48=W48,"X","II")))</f>
        <v>II</v>
      </c>
      <c r="Y48" s="53" t="str">
        <f aca="false">IF($E48="","",IF(X48=$E48,$E$175,0)+IF(AND($C48=V48,$D48=W48),$E$176,0))</f>
        <v/>
      </c>
      <c r="AA48" s="53" t="n">
        <f aca="false">005_Nir2!$F34</f>
        <v>0</v>
      </c>
      <c r="AB48" s="53" t="n">
        <f aca="false">005_Nir2!$G34</f>
        <v>1</v>
      </c>
      <c r="AC48" s="54" t="str">
        <f aca="false">IF(OR(AB48="",AA48=""),"",IF(AA48&gt;AB48,"I",IF(AA48=AB48,"X","II")))</f>
        <v>II</v>
      </c>
      <c r="AD48" s="53" t="str">
        <f aca="false">IF($E48="","",IF(AC48=$E48,$E$175,0)+IF(AND($C48=AA48,$D48=AB48),$E$176,0))</f>
        <v/>
      </c>
      <c r="AF48" s="53" t="n">
        <f aca="false">006_Nir3!$F34</f>
        <v>3</v>
      </c>
      <c r="AG48" s="53" t="n">
        <f aca="false">006_Nir3!$G34</f>
        <v>3</v>
      </c>
      <c r="AH48" s="54" t="str">
        <f aca="false">IF(OR(AG48="",AF48=""),"",IF(AF48&gt;AG48,"I",IF(AF48=AG48,"X","II")))</f>
        <v>X</v>
      </c>
      <c r="AI48" s="53" t="str">
        <f aca="false">IF($E48="","",IF(AH48=$E48,$E$175,0)+IF(AND($C48=AF48,$D48=AG48),$E$176,0))</f>
        <v/>
      </c>
    </row>
    <row r="49" customFormat="false" ht="14.25" hidden="false" customHeight="true" outlineLevel="0" collapsed="false">
      <c r="A49" s="6" t="n">
        <v>29</v>
      </c>
      <c r="B49" s="6" t="s">
        <v>38</v>
      </c>
      <c r="C49" s="52" t="str">
        <f aca="false">IF(Summary!L32="","",Summary!L32)</f>
        <v/>
      </c>
      <c r="D49" s="52" t="str">
        <f aca="false">IF(Summary!M32="","",Summary!M32)</f>
        <v/>
      </c>
      <c r="E49" s="14" t="str">
        <f aca="false">IF(OR(D49="",C49=""),"",IF(C49&gt;D49,"I",IF(C49=D49,"X","II")))</f>
        <v/>
      </c>
      <c r="F49" s="6"/>
      <c r="G49" s="53" t="n">
        <f aca="false">001_MikiZiso3!$F35</f>
        <v>5</v>
      </c>
      <c r="H49" s="53" t="n">
        <f aca="false">001_MikiZiso3!$G35</f>
        <v>1</v>
      </c>
      <c r="I49" s="54" t="str">
        <f aca="false">IF(OR(H49="",G49=""),"",IF(G49&gt;H49,"I",IF(G49=H49,"X","II")))</f>
        <v>I</v>
      </c>
      <c r="J49" s="53" t="str">
        <f aca="false">IF($E49="","",IF(I49=$E49,$E$175,0)+IF(AND($C49=G49,$D49=H49),$E$176,0))</f>
        <v/>
      </c>
      <c r="L49" s="53" t="n">
        <f aca="false">002_MikiZiso2!$F35</f>
        <v>5</v>
      </c>
      <c r="M49" s="53" t="n">
        <f aca="false">002_MikiZiso2!$G35</f>
        <v>1</v>
      </c>
      <c r="N49" s="54" t="str">
        <f aca="false">IF(OR(M49="",L49=""),"",IF(L49&gt;M49,"I",IF(L49=M49,"X","II")))</f>
        <v>I</v>
      </c>
      <c r="O49" s="53" t="str">
        <f aca="false">IF($E49="","",IF(N49=$E49,$E$175,0)+IF(AND($C49=L49,$D49=M49),$E$176,0))</f>
        <v/>
      </c>
      <c r="Q49" s="53" t="n">
        <f aca="false">003_Miki_Ziso!$F35</f>
        <v>1</v>
      </c>
      <c r="R49" s="53" t="n">
        <f aca="false">003_Miki_Ziso!$G35</f>
        <v>1</v>
      </c>
      <c r="S49" s="54" t="str">
        <f aca="false">IF(OR(R49="",Q49=""),"",IF(Q49&gt;R49,"I",IF(Q49=R49,"X","II")))</f>
        <v>X</v>
      </c>
      <c r="T49" s="53" t="str">
        <f aca="false">IF($E49="","",IF(S49=$E49,$E$175,0)+IF(AND($C49=Q49,$D49=R49),$E$176,0))</f>
        <v/>
      </c>
      <c r="V49" s="53" t="n">
        <f aca="false">004_Nir1!$F35</f>
        <v>0</v>
      </c>
      <c r="W49" s="53" t="n">
        <f aca="false">004_Nir1!$G35</f>
        <v>0</v>
      </c>
      <c r="X49" s="54" t="str">
        <f aca="false">IF(OR(W49="",V49=""),"",IF(V49&gt;W49,"I",IF(V49=W49,"X","II")))</f>
        <v>X</v>
      </c>
      <c r="Y49" s="53" t="str">
        <f aca="false">IF($E49="","",IF(X49=$E49,$E$175,0)+IF(AND($C49=V49,$D49=W49),$E$176,0))</f>
        <v/>
      </c>
      <c r="AA49" s="53" t="n">
        <f aca="false">005_Nir2!$F35</f>
        <v>0</v>
      </c>
      <c r="AB49" s="53" t="n">
        <f aca="false">005_Nir2!$G35</f>
        <v>0</v>
      </c>
      <c r="AC49" s="54" t="str">
        <f aca="false">IF(OR(AB49="",AA49=""),"",IF(AA49&gt;AB49,"I",IF(AA49=AB49,"X","II")))</f>
        <v>X</v>
      </c>
      <c r="AD49" s="53" t="str">
        <f aca="false">IF($E49="","",IF(AC49=$E49,$E$175,0)+IF(AND($C49=AA49,$D49=AB49),$E$176,0))</f>
        <v/>
      </c>
      <c r="AF49" s="53" t="n">
        <f aca="false">006_Nir3!$F35</f>
        <v>0</v>
      </c>
      <c r="AG49" s="53" t="n">
        <f aca="false">006_Nir3!$G35</f>
        <v>2</v>
      </c>
      <c r="AH49" s="54" t="str">
        <f aca="false">IF(OR(AG49="",AF49=""),"",IF(AF49&gt;AG49,"I",IF(AF49=AG49,"X","II")))</f>
        <v>II</v>
      </c>
      <c r="AI49" s="53" t="str">
        <f aca="false">IF($E49="","",IF(AH49=$E49,$E$175,0)+IF(AND($C49=AF49,$D49=AG49),$E$176,0))</f>
        <v/>
      </c>
    </row>
    <row r="50" customFormat="false" ht="14.25" hidden="false" customHeight="true" outlineLevel="0" collapsed="false">
      <c r="A50" s="6" t="n">
        <v>30</v>
      </c>
      <c r="B50" s="6" t="s">
        <v>39</v>
      </c>
      <c r="C50" s="52" t="str">
        <f aca="false">IF(Summary!L33="","",Summary!L33)</f>
        <v/>
      </c>
      <c r="D50" s="52" t="str">
        <f aca="false">IF(Summary!M33="","",Summary!M33)</f>
        <v/>
      </c>
      <c r="E50" s="14" t="str">
        <f aca="false">IF(OR(D50="",C50=""),"",IF(C50&gt;D50,"I",IF(C50=D50,"X","II")))</f>
        <v/>
      </c>
      <c r="F50" s="6"/>
      <c r="G50" s="53" t="n">
        <f aca="false">001_MikiZiso3!$F36</f>
        <v>1</v>
      </c>
      <c r="H50" s="53" t="n">
        <f aca="false">001_MikiZiso3!$G36</f>
        <v>1</v>
      </c>
      <c r="I50" s="54" t="str">
        <f aca="false">IF(OR(H50="",G50=""),"",IF(G50&gt;H50,"I",IF(G50=H50,"X","II")))</f>
        <v>X</v>
      </c>
      <c r="J50" s="53" t="str">
        <f aca="false">IF($E50="","",IF(I50=$E50,$E$175,0)+IF(AND($C50=G50,$D50=H50),$E$176,0))</f>
        <v/>
      </c>
      <c r="L50" s="53" t="n">
        <f aca="false">002_MikiZiso2!$F36</f>
        <v>1</v>
      </c>
      <c r="M50" s="53" t="n">
        <f aca="false">002_MikiZiso2!$G36</f>
        <v>1</v>
      </c>
      <c r="N50" s="54" t="str">
        <f aca="false">IF(OR(M50="",L50=""),"",IF(L50&gt;M50,"I",IF(L50=M50,"X","II")))</f>
        <v>X</v>
      </c>
      <c r="O50" s="53" t="str">
        <f aca="false">IF($E50="","",IF(N50=$E50,$E$175,0)+IF(AND($C50=L50,$D50=M50),$E$176,0))</f>
        <v/>
      </c>
      <c r="Q50" s="53" t="n">
        <f aca="false">003_Miki_Ziso!$F36</f>
        <v>1</v>
      </c>
      <c r="R50" s="53" t="n">
        <f aca="false">003_Miki_Ziso!$G36</f>
        <v>1</v>
      </c>
      <c r="S50" s="54" t="str">
        <f aca="false">IF(OR(R50="",Q50=""),"",IF(Q50&gt;R50,"I",IF(Q50=R50,"X","II")))</f>
        <v>X</v>
      </c>
      <c r="T50" s="53" t="str">
        <f aca="false">IF($E50="","",IF(S50=$E50,$E$175,0)+IF(AND($C50=Q50,$D50=R50),$E$176,0))</f>
        <v/>
      </c>
      <c r="V50" s="53" t="n">
        <f aca="false">004_Nir1!$F36</f>
        <v>0</v>
      </c>
      <c r="W50" s="53" t="n">
        <f aca="false">004_Nir1!$G36</f>
        <v>1</v>
      </c>
      <c r="X50" s="54" t="str">
        <f aca="false">IF(OR(W50="",V50=""),"",IF(V50&gt;W50,"I",IF(V50=W50,"X","II")))</f>
        <v>II</v>
      </c>
      <c r="Y50" s="53" t="str">
        <f aca="false">IF($E50="","",IF(X50=$E50,$E$175,0)+IF(AND($C50=V50,$D50=W50),$E$176,0))</f>
        <v/>
      </c>
      <c r="AA50" s="53" t="n">
        <f aca="false">005_Nir2!$F36</f>
        <v>0</v>
      </c>
      <c r="AB50" s="53" t="n">
        <f aca="false">005_Nir2!$G36</f>
        <v>0</v>
      </c>
      <c r="AC50" s="54" t="str">
        <f aca="false">IF(OR(AB50="",AA50=""),"",IF(AA50&gt;AB50,"I",IF(AA50=AB50,"X","II")))</f>
        <v>X</v>
      </c>
      <c r="AD50" s="53" t="str">
        <f aca="false">IF($E50="","",IF(AC50=$E50,$E$175,0)+IF(AND($C50=AA50,$D50=AB50),$E$176,0))</f>
        <v/>
      </c>
      <c r="AF50" s="53" t="n">
        <f aca="false">006_Nir3!$F36</f>
        <v>1</v>
      </c>
      <c r="AG50" s="53" t="n">
        <f aca="false">006_Nir3!$G36</f>
        <v>1</v>
      </c>
      <c r="AH50" s="54" t="str">
        <f aca="false">IF(OR(AG50="",AF50=""),"",IF(AF50&gt;AG50,"I",IF(AF50=AG50,"X","II")))</f>
        <v>X</v>
      </c>
      <c r="AI50" s="53" t="str">
        <f aca="false">IF($E50="","",IF(AH50=$E50,$E$175,0)+IF(AND($C50=AF50,$D50=AG50),$E$176,0))</f>
        <v/>
      </c>
    </row>
    <row r="51" customFormat="false" ht="14.25" hidden="false" customHeight="true" outlineLevel="0" collapsed="false">
      <c r="A51" s="6" t="n">
        <v>31</v>
      </c>
      <c r="B51" s="6" t="s">
        <v>40</v>
      </c>
      <c r="C51" s="52" t="str">
        <f aca="false">IF(Summary!L34="","",Summary!L34)</f>
        <v/>
      </c>
      <c r="D51" s="52" t="str">
        <f aca="false">IF(Summary!M34="","",Summary!M34)</f>
        <v/>
      </c>
      <c r="E51" s="14" t="str">
        <f aca="false">IF(OR(D51="",C51=""),"",IF(C51&gt;D51,"I",IF(C51=D51,"X","II")))</f>
        <v/>
      </c>
      <c r="F51" s="6"/>
      <c r="G51" s="53" t="n">
        <f aca="false">001_MikiZiso3!$F37</f>
        <v>2</v>
      </c>
      <c r="H51" s="53" t="n">
        <f aca="false">001_MikiZiso3!$G37</f>
        <v>1</v>
      </c>
      <c r="I51" s="54" t="str">
        <f aca="false">IF(OR(H51="",G51=""),"",IF(G51&gt;H51,"I",IF(G51=H51,"X","II")))</f>
        <v>I</v>
      </c>
      <c r="J51" s="53" t="str">
        <f aca="false">IF($E51="","",IF(I51=$E51,$E$175,0)+IF(AND($C51=G51,$D51=H51),$E$176,0))</f>
        <v/>
      </c>
      <c r="L51" s="53" t="n">
        <f aca="false">002_MikiZiso2!$F37</f>
        <v>2</v>
      </c>
      <c r="M51" s="53" t="n">
        <f aca="false">002_MikiZiso2!$G37</f>
        <v>1</v>
      </c>
      <c r="N51" s="54" t="str">
        <f aca="false">IF(OR(M51="",L51=""),"",IF(L51&gt;M51,"I",IF(L51=M51,"X","II")))</f>
        <v>I</v>
      </c>
      <c r="O51" s="53" t="str">
        <f aca="false">IF($E51="","",IF(N51=$E51,$E$175,0)+IF(AND($C51=L51,$D51=M51),$E$176,0))</f>
        <v/>
      </c>
      <c r="Q51" s="53" t="n">
        <f aca="false">003_Miki_Ziso!$F37</f>
        <v>2</v>
      </c>
      <c r="R51" s="53" t="n">
        <f aca="false">003_Miki_Ziso!$G37</f>
        <v>1</v>
      </c>
      <c r="S51" s="54" t="str">
        <f aca="false">IF(OR(R51="",Q51=""),"",IF(Q51&gt;R51,"I",IF(Q51=R51,"X","II")))</f>
        <v>I</v>
      </c>
      <c r="T51" s="53" t="str">
        <f aca="false">IF($E51="","",IF(S51=$E51,$E$175,0)+IF(AND($C51=Q51,$D51=R51),$E$176,0))</f>
        <v/>
      </c>
      <c r="V51" s="53" t="n">
        <f aca="false">004_Nir1!$F37</f>
        <v>1</v>
      </c>
      <c r="W51" s="53" t="n">
        <f aca="false">004_Nir1!$G37</f>
        <v>2</v>
      </c>
      <c r="X51" s="54" t="str">
        <f aca="false">IF(OR(W51="",V51=""),"",IF(V51&gt;W51,"I",IF(V51=W51,"X","II")))</f>
        <v>II</v>
      </c>
      <c r="Y51" s="53" t="str">
        <f aca="false">IF($E51="","",IF(X51=$E51,$E$175,0)+IF(AND($C51=V51,$D51=W51),$E$176,0))</f>
        <v/>
      </c>
      <c r="AA51" s="53" t="n">
        <f aca="false">005_Nir2!$F37</f>
        <v>1</v>
      </c>
      <c r="AB51" s="53" t="n">
        <f aca="false">005_Nir2!$G37</f>
        <v>0</v>
      </c>
      <c r="AC51" s="54" t="str">
        <f aca="false">IF(OR(AB51="",AA51=""),"",IF(AA51&gt;AB51,"I",IF(AA51=AB51,"X","II")))</f>
        <v>I</v>
      </c>
      <c r="AD51" s="53" t="str">
        <f aca="false">IF($E51="","",IF(AC51=$E51,$E$175,0)+IF(AND($C51=AA51,$D51=AB51),$E$176,0))</f>
        <v/>
      </c>
      <c r="AF51" s="53" t="n">
        <f aca="false">006_Nir3!$F37</f>
        <v>0</v>
      </c>
      <c r="AG51" s="53" t="n">
        <f aca="false">006_Nir3!$G37</f>
        <v>0</v>
      </c>
      <c r="AH51" s="54" t="str">
        <f aca="false">IF(OR(AG51="",AF51=""),"",IF(AF51&gt;AG51,"I",IF(AF51=AG51,"X","II")))</f>
        <v>X</v>
      </c>
      <c r="AI51" s="53" t="str">
        <f aca="false">IF($E51="","",IF(AH51=$E51,$E$175,0)+IF(AND($C51=AF51,$D51=AG51),$E$176,0))</f>
        <v/>
      </c>
    </row>
    <row r="52" customFormat="false" ht="14.25" hidden="false" customHeight="true" outlineLevel="0" collapsed="false">
      <c r="A52" s="6" t="n">
        <v>32</v>
      </c>
      <c r="B52" s="6" t="s">
        <v>41</v>
      </c>
      <c r="C52" s="52" t="str">
        <f aca="false">IF(Summary!L35="","",Summary!L35)</f>
        <v/>
      </c>
      <c r="D52" s="52" t="str">
        <f aca="false">IF(Summary!M35="","",Summary!M35)</f>
        <v/>
      </c>
      <c r="E52" s="14" t="str">
        <f aca="false">IF(OR(D52="",C52=""),"",IF(C52&gt;D52,"I",IF(C52=D52,"X","II")))</f>
        <v/>
      </c>
      <c r="F52" s="6"/>
      <c r="G52" s="53" t="n">
        <f aca="false">001_MikiZiso3!$F38</f>
        <v>2</v>
      </c>
      <c r="H52" s="53" t="n">
        <f aca="false">001_MikiZiso3!$G38</f>
        <v>0</v>
      </c>
      <c r="I52" s="54" t="str">
        <f aca="false">IF(OR(H52="",G52=""),"",IF(G52&gt;H52,"I",IF(G52=H52,"X","II")))</f>
        <v>I</v>
      </c>
      <c r="J52" s="53" t="str">
        <f aca="false">IF($E52="","",IF(I52=$E52,$E$175,0)+IF(AND($C52=G52,$D52=H52),$E$176,0))</f>
        <v/>
      </c>
      <c r="L52" s="53" t="n">
        <f aca="false">002_MikiZiso2!$F38</f>
        <v>2</v>
      </c>
      <c r="M52" s="53" t="n">
        <f aca="false">002_MikiZiso2!$G38</f>
        <v>0</v>
      </c>
      <c r="N52" s="54" t="str">
        <f aca="false">IF(OR(M52="",L52=""),"",IF(L52&gt;M52,"I",IF(L52=M52,"X","II")))</f>
        <v>I</v>
      </c>
      <c r="O52" s="53" t="str">
        <f aca="false">IF($E52="","",IF(N52=$E52,$E$175,0)+IF(AND($C52=L52,$D52=M52),$E$176,0))</f>
        <v/>
      </c>
      <c r="Q52" s="53" t="n">
        <f aca="false">003_Miki_Ziso!$F38</f>
        <v>2</v>
      </c>
      <c r="R52" s="53" t="n">
        <f aca="false">003_Miki_Ziso!$G38</f>
        <v>0</v>
      </c>
      <c r="S52" s="54" t="str">
        <f aca="false">IF(OR(R52="",Q52=""),"",IF(Q52&gt;R52,"I",IF(Q52=R52,"X","II")))</f>
        <v>I</v>
      </c>
      <c r="T52" s="53" t="str">
        <f aca="false">IF($E52="","",IF(S52=$E52,$E$175,0)+IF(AND($C52=Q52,$D52=R52),$E$176,0))</f>
        <v/>
      </c>
      <c r="V52" s="53" t="n">
        <f aca="false">004_Nir1!$F38</f>
        <v>1</v>
      </c>
      <c r="W52" s="53" t="n">
        <f aca="false">004_Nir1!$G38</f>
        <v>1</v>
      </c>
      <c r="X52" s="54" t="str">
        <f aca="false">IF(OR(W52="",V52=""),"",IF(V52&gt;W52,"I",IF(V52=W52,"X","II")))</f>
        <v>X</v>
      </c>
      <c r="Y52" s="53" t="str">
        <f aca="false">IF($E52="","",IF(X52=$E52,$E$175,0)+IF(AND($C52=V52,$D52=W52),$E$176,0))</f>
        <v/>
      </c>
      <c r="AA52" s="53" t="n">
        <f aca="false">005_Nir2!$F38</f>
        <v>1</v>
      </c>
      <c r="AB52" s="53" t="n">
        <f aca="false">005_Nir2!$G38</f>
        <v>1</v>
      </c>
      <c r="AC52" s="54" t="str">
        <f aca="false">IF(OR(AB52="",AA52=""),"",IF(AA52&gt;AB52,"I",IF(AA52=AB52,"X","II")))</f>
        <v>X</v>
      </c>
      <c r="AD52" s="53" t="str">
        <f aca="false">IF($E52="","",IF(AC52=$E52,$E$175,0)+IF(AND($C52=AA52,$D52=AB52),$E$176,0))</f>
        <v/>
      </c>
      <c r="AF52" s="53" t="n">
        <f aca="false">006_Nir3!$F38</f>
        <v>2</v>
      </c>
      <c r="AG52" s="53" t="n">
        <f aca="false">006_Nir3!$G38</f>
        <v>0</v>
      </c>
      <c r="AH52" s="54" t="str">
        <f aca="false">IF(OR(AG52="",AF52=""),"",IF(AF52&gt;AG52,"I",IF(AF52=AG52,"X","II")))</f>
        <v>I</v>
      </c>
      <c r="AI52" s="53" t="str">
        <f aca="false">IF($E52="","",IF(AH52=$E52,$E$175,0)+IF(AND($C52=AF52,$D52=AG52),$E$176,0))</f>
        <v/>
      </c>
    </row>
    <row r="53" customFormat="false" ht="14.25" hidden="false" customHeight="true" outlineLevel="0" collapsed="false">
      <c r="A53" s="6" t="n">
        <v>33</v>
      </c>
      <c r="B53" s="6" t="s">
        <v>42</v>
      </c>
      <c r="C53" s="52" t="str">
        <f aca="false">IF(Summary!L36="","",Summary!L36)</f>
        <v/>
      </c>
      <c r="D53" s="52" t="str">
        <f aca="false">IF(Summary!M36="","",Summary!M36)</f>
        <v/>
      </c>
      <c r="E53" s="14" t="str">
        <f aca="false">IF(OR(D53="",C53=""),"",IF(C53&gt;D53,"I",IF(C53=D53,"X","II")))</f>
        <v/>
      </c>
      <c r="F53" s="6"/>
      <c r="G53" s="53" t="n">
        <f aca="false">001_MikiZiso3!$F39</f>
        <v>2</v>
      </c>
      <c r="H53" s="53" t="n">
        <f aca="false">001_MikiZiso3!$G39</f>
        <v>0</v>
      </c>
      <c r="I53" s="54" t="str">
        <f aca="false">IF(OR(H53="",G53=""),"",IF(G53&gt;H53,"I",IF(G53=H53,"X","II")))</f>
        <v>I</v>
      </c>
      <c r="J53" s="53" t="str">
        <f aca="false">IF($E53="","",IF(I53=$E53,$E$175,0)+IF(AND($C53=G53,$D53=H53),$E$176,0))</f>
        <v/>
      </c>
      <c r="L53" s="53" t="n">
        <f aca="false">002_MikiZiso2!$F39</f>
        <v>2</v>
      </c>
      <c r="M53" s="53" t="n">
        <f aca="false">002_MikiZiso2!$G39</f>
        <v>0</v>
      </c>
      <c r="N53" s="54" t="str">
        <f aca="false">IF(OR(M53="",L53=""),"",IF(L53&gt;M53,"I",IF(L53=M53,"X","II")))</f>
        <v>I</v>
      </c>
      <c r="O53" s="53" t="str">
        <f aca="false">IF($E53="","",IF(N53=$E53,$E$175,0)+IF(AND($C53=L53,$D53=M53),$E$176,0))</f>
        <v/>
      </c>
      <c r="Q53" s="53" t="n">
        <f aca="false">003_Miki_Ziso!$F39</f>
        <v>2</v>
      </c>
      <c r="R53" s="53" t="n">
        <f aca="false">003_Miki_Ziso!$G39</f>
        <v>0</v>
      </c>
      <c r="S53" s="54" t="str">
        <f aca="false">IF(OR(R53="",Q53=""),"",IF(Q53&gt;R53,"I",IF(Q53=R53,"X","II")))</f>
        <v>I</v>
      </c>
      <c r="T53" s="53" t="str">
        <f aca="false">IF($E53="","",IF(S53=$E53,$E$175,0)+IF(AND($C53=Q53,$D53=R53),$E$176,0))</f>
        <v/>
      </c>
      <c r="V53" s="53" t="n">
        <f aca="false">004_Nir1!$F39</f>
        <v>2</v>
      </c>
      <c r="W53" s="53" t="n">
        <f aca="false">004_Nir1!$G39</f>
        <v>1</v>
      </c>
      <c r="X53" s="54" t="str">
        <f aca="false">IF(OR(W53="",V53=""),"",IF(V53&gt;W53,"I",IF(V53=W53,"X","II")))</f>
        <v>I</v>
      </c>
      <c r="Y53" s="53" t="str">
        <f aca="false">IF($E53="","",IF(X53=$E53,$E$175,0)+IF(AND($C53=V53,$D53=W53),$E$176,0))</f>
        <v/>
      </c>
      <c r="AA53" s="53" t="n">
        <f aca="false">005_Nir2!$F39</f>
        <v>2</v>
      </c>
      <c r="AB53" s="53" t="n">
        <f aca="false">005_Nir2!$G39</f>
        <v>1</v>
      </c>
      <c r="AC53" s="54" t="str">
        <f aca="false">IF(OR(AB53="",AA53=""),"",IF(AA53&gt;AB53,"I",IF(AA53=AB53,"X","II")))</f>
        <v>I</v>
      </c>
      <c r="AD53" s="53" t="str">
        <f aca="false">IF($E53="","",IF(AC53=$E53,$E$175,0)+IF(AND($C53=AA53,$D53=AB53),$E$176,0))</f>
        <v/>
      </c>
      <c r="AF53" s="53" t="n">
        <f aca="false">006_Nir3!$F39</f>
        <v>3</v>
      </c>
      <c r="AG53" s="53" t="n">
        <f aca="false">006_Nir3!$G39</f>
        <v>0</v>
      </c>
      <c r="AH53" s="54" t="str">
        <f aca="false">IF(OR(AG53="",AF53=""),"",IF(AF53&gt;AG53,"I",IF(AF53=AG53,"X","II")))</f>
        <v>I</v>
      </c>
      <c r="AI53" s="53" t="str">
        <f aca="false">IF($E53="","",IF(AH53=$E53,$E$175,0)+IF(AND($C53=AF53,$D53=AG53),$E$176,0))</f>
        <v/>
      </c>
    </row>
    <row r="54" customFormat="false" ht="14.25" hidden="false" customHeight="true" outlineLevel="0" collapsed="false">
      <c r="A54" s="6" t="n">
        <v>34</v>
      </c>
      <c r="B54" s="6" t="s">
        <v>43</v>
      </c>
      <c r="C54" s="52" t="str">
        <f aca="false">IF(Summary!L37="","",Summary!L37)</f>
        <v/>
      </c>
      <c r="D54" s="52" t="str">
        <f aca="false">IF(Summary!M37="","",Summary!M37)</f>
        <v/>
      </c>
      <c r="E54" s="14" t="str">
        <f aca="false">IF(OR(D54="",C54=""),"",IF(C54&gt;D54,"I",IF(C54=D54,"X","II")))</f>
        <v/>
      </c>
      <c r="F54" s="6"/>
      <c r="G54" s="53" t="n">
        <f aca="false">001_MikiZiso3!$F40</f>
        <v>0</v>
      </c>
      <c r="H54" s="53" t="n">
        <f aca="false">001_MikiZiso3!$G40</f>
        <v>1</v>
      </c>
      <c r="I54" s="54" t="str">
        <f aca="false">IF(OR(H54="",G54=""),"",IF(G54&gt;H54,"I",IF(G54=H54,"X","II")))</f>
        <v>II</v>
      </c>
      <c r="J54" s="53" t="str">
        <f aca="false">IF($E54="","",IF(I54=$E54,$E$175,0)+IF(AND($C54=G54,$D54=H54),$E$176,0))</f>
        <v/>
      </c>
      <c r="L54" s="53" t="n">
        <f aca="false">002_MikiZiso2!$F40</f>
        <v>0</v>
      </c>
      <c r="M54" s="53" t="n">
        <f aca="false">002_MikiZiso2!$G40</f>
        <v>1</v>
      </c>
      <c r="N54" s="54" t="str">
        <f aca="false">IF(OR(M54="",L54=""),"",IF(L54&gt;M54,"I",IF(L54=M54,"X","II")))</f>
        <v>II</v>
      </c>
      <c r="O54" s="53" t="str">
        <f aca="false">IF($E54="","",IF(N54=$E54,$E$175,0)+IF(AND($C54=L54,$D54=M54),$E$176,0))</f>
        <v/>
      </c>
      <c r="Q54" s="53" t="n">
        <f aca="false">003_Miki_Ziso!$F40</f>
        <v>0</v>
      </c>
      <c r="R54" s="53" t="n">
        <f aca="false">003_Miki_Ziso!$G40</f>
        <v>1</v>
      </c>
      <c r="S54" s="54" t="str">
        <f aca="false">IF(OR(R54="",Q54=""),"",IF(Q54&gt;R54,"I",IF(Q54=R54,"X","II")))</f>
        <v>II</v>
      </c>
      <c r="T54" s="53" t="str">
        <f aca="false">IF($E54="","",IF(S54=$E54,$E$175,0)+IF(AND($C54=Q54,$D54=R54),$E$176,0))</f>
        <v/>
      </c>
      <c r="V54" s="53" t="n">
        <f aca="false">004_Nir1!$F40</f>
        <v>3</v>
      </c>
      <c r="W54" s="53" t="n">
        <f aca="false">004_Nir1!$G40</f>
        <v>1</v>
      </c>
      <c r="X54" s="54" t="str">
        <f aca="false">IF(OR(W54="",V54=""),"",IF(V54&gt;W54,"I",IF(V54=W54,"X","II")))</f>
        <v>I</v>
      </c>
      <c r="Y54" s="53" t="str">
        <f aca="false">IF($E54="","",IF(X54=$E54,$E$175,0)+IF(AND($C54=V54,$D54=W54),$E$176,0))</f>
        <v/>
      </c>
      <c r="AA54" s="53" t="n">
        <f aca="false">005_Nir2!$F40</f>
        <v>1</v>
      </c>
      <c r="AB54" s="53" t="n">
        <f aca="false">005_Nir2!$G40</f>
        <v>1</v>
      </c>
      <c r="AC54" s="54" t="str">
        <f aca="false">IF(OR(AB54="",AA54=""),"",IF(AA54&gt;AB54,"I",IF(AA54=AB54,"X","II")))</f>
        <v>X</v>
      </c>
      <c r="AD54" s="53" t="str">
        <f aca="false">IF($E54="","",IF(AC54=$E54,$E$175,0)+IF(AND($C54=AA54,$D54=AB54),$E$176,0))</f>
        <v/>
      </c>
      <c r="AF54" s="53" t="n">
        <f aca="false">006_Nir3!$F40</f>
        <v>1</v>
      </c>
      <c r="AG54" s="53" t="n">
        <f aca="false">006_Nir3!$G40</f>
        <v>1</v>
      </c>
      <c r="AH54" s="54" t="str">
        <f aca="false">IF(OR(AG54="",AF54=""),"",IF(AF54&gt;AG54,"I",IF(AF54=AG54,"X","II")))</f>
        <v>X</v>
      </c>
      <c r="AI54" s="53" t="str">
        <f aca="false">IF($E54="","",IF(AH54=$E54,$E$175,0)+IF(AND($C54=AF54,$D54=AG54),$E$176,0))</f>
        <v/>
      </c>
    </row>
    <row r="55" customFormat="false" ht="14.25" hidden="false" customHeight="true" outlineLevel="0" collapsed="false">
      <c r="A55" s="6" t="n">
        <v>35</v>
      </c>
      <c r="B55" s="6" t="s">
        <v>45</v>
      </c>
      <c r="C55" s="52" t="str">
        <f aca="false">IF(Summary!L38="","",Summary!L38)</f>
        <v/>
      </c>
      <c r="D55" s="52" t="str">
        <f aca="false">IF(Summary!M38="","",Summary!M38)</f>
        <v/>
      </c>
      <c r="E55" s="14" t="str">
        <f aca="false">IF(OR(D55="",C55=""),"",IF(C55&gt;D55,"I",IF(C55=D55,"X","II")))</f>
        <v/>
      </c>
      <c r="F55" s="6"/>
      <c r="G55" s="53" t="n">
        <f aca="false">001_MikiZiso3!$F41</f>
        <v>2</v>
      </c>
      <c r="H55" s="53" t="n">
        <f aca="false">001_MikiZiso3!$G41</f>
        <v>0</v>
      </c>
      <c r="I55" s="54" t="str">
        <f aca="false">IF(OR(H55="",G55=""),"",IF(G55&gt;H55,"I",IF(G55=H55,"X","II")))</f>
        <v>I</v>
      </c>
      <c r="J55" s="53" t="str">
        <f aca="false">IF($E55="","",IF(I55=$E55,$E$175,0)+IF(AND($C55=G55,$D55=H55),$E$176,0))</f>
        <v/>
      </c>
      <c r="L55" s="53" t="n">
        <f aca="false">002_MikiZiso2!$F41</f>
        <v>2</v>
      </c>
      <c r="M55" s="53" t="n">
        <f aca="false">002_MikiZiso2!$G41</f>
        <v>0</v>
      </c>
      <c r="N55" s="54" t="str">
        <f aca="false">IF(OR(M55="",L55=""),"",IF(L55&gt;M55,"I",IF(L55=M55,"X","II")))</f>
        <v>I</v>
      </c>
      <c r="O55" s="53" t="str">
        <f aca="false">IF($E55="","",IF(N55=$E55,$E$175,0)+IF(AND($C55=L55,$D55=M55),$E$176,0))</f>
        <v/>
      </c>
      <c r="Q55" s="53" t="n">
        <f aca="false">003_Miki_Ziso!$F41</f>
        <v>2</v>
      </c>
      <c r="R55" s="53" t="n">
        <f aca="false">003_Miki_Ziso!$G41</f>
        <v>0</v>
      </c>
      <c r="S55" s="54" t="str">
        <f aca="false">IF(OR(R55="",Q55=""),"",IF(Q55&gt;R55,"I",IF(Q55=R55,"X","II")))</f>
        <v>I</v>
      </c>
      <c r="T55" s="53" t="str">
        <f aca="false">IF($E55="","",IF(S55=$E55,$E$175,0)+IF(AND($C55=Q55,$D55=R55),$E$176,0))</f>
        <v/>
      </c>
      <c r="V55" s="53" t="n">
        <f aca="false">004_Nir1!$F41</f>
        <v>0</v>
      </c>
      <c r="W55" s="53" t="n">
        <f aca="false">004_Nir1!$G41</f>
        <v>0</v>
      </c>
      <c r="X55" s="54" t="str">
        <f aca="false">IF(OR(W55="",V55=""),"",IF(V55&gt;W55,"I",IF(V55=W55,"X","II")))</f>
        <v>X</v>
      </c>
      <c r="Y55" s="53" t="str">
        <f aca="false">IF($E55="","",IF(X55=$E55,$E$175,0)+IF(AND($C55=V55,$D55=W55),$E$176,0))</f>
        <v/>
      </c>
      <c r="AA55" s="53" t="n">
        <f aca="false">005_Nir2!$F41</f>
        <v>3</v>
      </c>
      <c r="AB55" s="53" t="n">
        <f aca="false">005_Nir2!$G41</f>
        <v>1</v>
      </c>
      <c r="AC55" s="54" t="str">
        <f aca="false">IF(OR(AB55="",AA55=""),"",IF(AA55&gt;AB55,"I",IF(AA55=AB55,"X","II")))</f>
        <v>I</v>
      </c>
      <c r="AD55" s="53" t="str">
        <f aca="false">IF($E55="","",IF(AC55=$E55,$E$175,0)+IF(AND($C55=AA55,$D55=AB55),$E$176,0))</f>
        <v/>
      </c>
      <c r="AF55" s="53" t="n">
        <f aca="false">006_Nir3!$F41</f>
        <v>0</v>
      </c>
      <c r="AG55" s="53" t="n">
        <f aca="false">006_Nir3!$G41</f>
        <v>2</v>
      </c>
      <c r="AH55" s="54" t="str">
        <f aca="false">IF(OR(AG55="",AF55=""),"",IF(AF55&gt;AG55,"I",IF(AF55=AG55,"X","II")))</f>
        <v>II</v>
      </c>
      <c r="AI55" s="53" t="str">
        <f aca="false">IF($E55="","",IF(AH55=$E55,$E$175,0)+IF(AND($C55=AF55,$D55=AG55),$E$176,0))</f>
        <v/>
      </c>
    </row>
    <row r="56" customFormat="false" ht="14.25" hidden="false" customHeight="true" outlineLevel="0" collapsed="false">
      <c r="A56" s="6" t="n">
        <v>36</v>
      </c>
      <c r="B56" s="6" t="s">
        <v>46</v>
      </c>
      <c r="C56" s="52" t="str">
        <f aca="false">IF(Summary!L39="","",Summary!L39)</f>
        <v/>
      </c>
      <c r="D56" s="52" t="str">
        <f aca="false">IF(Summary!M39="","",Summary!M39)</f>
        <v/>
      </c>
      <c r="E56" s="14" t="str">
        <f aca="false">IF(OR(D56="",C56=""),"",IF(C56&gt;D56,"I",IF(C56=D56,"X","II")))</f>
        <v/>
      </c>
      <c r="F56" s="6"/>
      <c r="G56" s="53" t="n">
        <f aca="false">001_MikiZiso3!$F42</f>
        <v>0</v>
      </c>
      <c r="H56" s="53" t="n">
        <f aca="false">001_MikiZiso3!$G42</f>
        <v>2</v>
      </c>
      <c r="I56" s="54" t="str">
        <f aca="false">IF(OR(H56="",G56=""),"",IF(G56&gt;H56,"I",IF(G56=H56,"X","II")))</f>
        <v>II</v>
      </c>
      <c r="J56" s="53" t="str">
        <f aca="false">IF($E56="","",IF(I56=$E56,$E$175,0)+IF(AND($C56=G56,$D56=H56),$E$176,0))</f>
        <v/>
      </c>
      <c r="L56" s="53" t="n">
        <f aca="false">002_MikiZiso2!$F42</f>
        <v>0</v>
      </c>
      <c r="M56" s="53" t="n">
        <f aca="false">002_MikiZiso2!$G42</f>
        <v>2</v>
      </c>
      <c r="N56" s="54" t="str">
        <f aca="false">IF(OR(M56="",L56=""),"",IF(L56&gt;M56,"I",IF(L56=M56,"X","II")))</f>
        <v>II</v>
      </c>
      <c r="O56" s="53" t="str">
        <f aca="false">IF($E56="","",IF(N56=$E56,$E$175,0)+IF(AND($C56=L56,$D56=M56),$E$176,0))</f>
        <v/>
      </c>
      <c r="Q56" s="53" t="n">
        <f aca="false">003_Miki_Ziso!$F42</f>
        <v>0</v>
      </c>
      <c r="R56" s="53" t="n">
        <f aca="false">003_Miki_Ziso!$G42</f>
        <v>2</v>
      </c>
      <c r="S56" s="54" t="str">
        <f aca="false">IF(OR(R56="",Q56=""),"",IF(Q56&gt;R56,"I",IF(Q56=R56,"X","II")))</f>
        <v>II</v>
      </c>
      <c r="T56" s="53" t="str">
        <f aca="false">IF($E56="","",IF(S56=$E56,$E$175,0)+IF(AND($C56=Q56,$D56=R56),$E$176,0))</f>
        <v/>
      </c>
      <c r="V56" s="53" t="n">
        <f aca="false">004_Nir1!$F42</f>
        <v>0</v>
      </c>
      <c r="W56" s="53" t="n">
        <f aca="false">004_Nir1!$G42</f>
        <v>0</v>
      </c>
      <c r="X56" s="54" t="str">
        <f aca="false">IF(OR(W56="",V56=""),"",IF(V56&gt;W56,"I",IF(V56=W56,"X","II")))</f>
        <v>X</v>
      </c>
      <c r="Y56" s="53" t="str">
        <f aca="false">IF($E56="","",IF(X56=$E56,$E$175,0)+IF(AND($C56=V56,$D56=W56),$E$176,0))</f>
        <v/>
      </c>
      <c r="AA56" s="53" t="n">
        <f aca="false">005_Nir2!$F42</f>
        <v>0</v>
      </c>
      <c r="AB56" s="53" t="n">
        <f aca="false">005_Nir2!$G42</f>
        <v>2</v>
      </c>
      <c r="AC56" s="54" t="str">
        <f aca="false">IF(OR(AB56="",AA56=""),"",IF(AA56&gt;AB56,"I",IF(AA56=AB56,"X","II")))</f>
        <v>II</v>
      </c>
      <c r="AD56" s="53" t="str">
        <f aca="false">IF($E56="","",IF(AC56=$E56,$E$175,0)+IF(AND($C56=AA56,$D56=AB56),$E$176,0))</f>
        <v/>
      </c>
      <c r="AF56" s="53" t="n">
        <f aca="false">006_Nir3!$F42</f>
        <v>1</v>
      </c>
      <c r="AG56" s="53" t="n">
        <f aca="false">006_Nir3!$G42</f>
        <v>3</v>
      </c>
      <c r="AH56" s="54" t="str">
        <f aca="false">IF(OR(AG56="",AF56=""),"",IF(AF56&gt;AG56,"I",IF(AF56=AG56,"X","II")))</f>
        <v>II</v>
      </c>
      <c r="AI56" s="53" t="str">
        <f aca="false">IF($E56="","",IF(AH56=$E56,$E$175,0)+IF(AND($C56=AF56,$D56=AG56),$E$176,0))</f>
        <v/>
      </c>
    </row>
    <row r="57" customFormat="false" ht="14.25" hidden="false" customHeight="true" outlineLevel="0" collapsed="false">
      <c r="A57" s="6" t="n">
        <v>37</v>
      </c>
      <c r="B57" s="6" t="s">
        <v>47</v>
      </c>
      <c r="C57" s="52" t="str">
        <f aca="false">IF(Summary!L40="","",Summary!L40)</f>
        <v/>
      </c>
      <c r="D57" s="52" t="str">
        <f aca="false">IF(Summary!M40="","",Summary!M40)</f>
        <v/>
      </c>
      <c r="E57" s="14" t="str">
        <f aca="false">IF(OR(D57="",C57=""),"",IF(C57&gt;D57,"I",IF(C57=D57,"X","II")))</f>
        <v/>
      </c>
      <c r="F57" s="6"/>
      <c r="G57" s="53" t="n">
        <f aca="false">001_MikiZiso3!$F43</f>
        <v>1</v>
      </c>
      <c r="H57" s="53" t="n">
        <f aca="false">001_MikiZiso3!$G43</f>
        <v>0</v>
      </c>
      <c r="I57" s="54" t="str">
        <f aca="false">IF(OR(H57="",G57=""),"",IF(G57&gt;H57,"I",IF(G57=H57,"X","II")))</f>
        <v>I</v>
      </c>
      <c r="J57" s="53" t="str">
        <f aca="false">IF($E57="","",IF(I57=$E57,$E$175,0)+IF(AND($C57=G57,$D57=H57),$E$176,0))</f>
        <v/>
      </c>
      <c r="L57" s="53" t="n">
        <f aca="false">002_MikiZiso2!$F43</f>
        <v>1</v>
      </c>
      <c r="M57" s="53" t="n">
        <f aca="false">002_MikiZiso2!$G43</f>
        <v>0</v>
      </c>
      <c r="N57" s="54" t="str">
        <f aca="false">IF(OR(M57="",L57=""),"",IF(L57&gt;M57,"I",IF(L57=M57,"X","II")))</f>
        <v>I</v>
      </c>
      <c r="O57" s="53" t="str">
        <f aca="false">IF($E57="","",IF(N57=$E57,$E$175,0)+IF(AND($C57=L57,$D57=M57),$E$176,0))</f>
        <v/>
      </c>
      <c r="Q57" s="53" t="n">
        <f aca="false">003_Miki_Ziso!$F43</f>
        <v>0</v>
      </c>
      <c r="R57" s="53" t="n">
        <f aca="false">003_Miki_Ziso!$G43</f>
        <v>0</v>
      </c>
      <c r="S57" s="54" t="str">
        <f aca="false">IF(OR(R57="",Q57=""),"",IF(Q57&gt;R57,"I",IF(Q57=R57,"X","II")))</f>
        <v>X</v>
      </c>
      <c r="T57" s="53" t="str">
        <f aca="false">IF($E57="","",IF(S57=$E57,$E$175,0)+IF(AND($C57=Q57,$D57=R57),$E$176,0))</f>
        <v/>
      </c>
      <c r="V57" s="53" t="n">
        <f aca="false">004_Nir1!$F43</f>
        <v>0</v>
      </c>
      <c r="W57" s="53" t="n">
        <f aca="false">004_Nir1!$G43</f>
        <v>0</v>
      </c>
      <c r="X57" s="54" t="str">
        <f aca="false">IF(OR(W57="",V57=""),"",IF(V57&gt;W57,"I",IF(V57=W57,"X","II")))</f>
        <v>X</v>
      </c>
      <c r="Y57" s="53" t="str">
        <f aca="false">IF($E57="","",IF(X57=$E57,$E$175,0)+IF(AND($C57=V57,$D57=W57),$E$176,0))</f>
        <v/>
      </c>
      <c r="AA57" s="53" t="n">
        <f aca="false">005_Nir2!$F43</f>
        <v>1</v>
      </c>
      <c r="AB57" s="53" t="n">
        <f aca="false">005_Nir2!$G43</f>
        <v>1</v>
      </c>
      <c r="AC57" s="54" t="str">
        <f aca="false">IF(OR(AB57="",AA57=""),"",IF(AA57&gt;AB57,"I",IF(AA57=AB57,"X","II")))</f>
        <v>X</v>
      </c>
      <c r="AD57" s="53" t="str">
        <f aca="false">IF($E57="","",IF(AC57=$E57,$E$175,0)+IF(AND($C57=AA57,$D57=AB57),$E$176,0))</f>
        <v/>
      </c>
      <c r="AF57" s="53" t="n">
        <f aca="false">006_Nir3!$F43</f>
        <v>0</v>
      </c>
      <c r="AG57" s="53" t="n">
        <f aca="false">006_Nir3!$G43</f>
        <v>1</v>
      </c>
      <c r="AH57" s="54" t="str">
        <f aca="false">IF(OR(AG57="",AF57=""),"",IF(AF57&gt;AG57,"I",IF(AF57=AG57,"X","II")))</f>
        <v>II</v>
      </c>
      <c r="AI57" s="53" t="str">
        <f aca="false">IF($E57="","",IF(AH57=$E57,$E$175,0)+IF(AND($C57=AF57,$D57=AG57),$E$176,0))</f>
        <v/>
      </c>
    </row>
    <row r="58" customFormat="false" ht="14.25" hidden="false" customHeight="true" outlineLevel="0" collapsed="false">
      <c r="A58" s="6" t="n">
        <v>38</v>
      </c>
      <c r="B58" s="6" t="s">
        <v>48</v>
      </c>
      <c r="C58" s="52" t="str">
        <f aca="false">IF(Summary!L41="","",Summary!L41)</f>
        <v/>
      </c>
      <c r="D58" s="52" t="str">
        <f aca="false">IF(Summary!M41="","",Summary!M41)</f>
        <v/>
      </c>
      <c r="E58" s="14" t="str">
        <f aca="false">IF(OR(D58="",C58=""),"",IF(C58&gt;D58,"I",IF(C58=D58,"X","II")))</f>
        <v/>
      </c>
      <c r="F58" s="6"/>
      <c r="G58" s="53" t="n">
        <f aca="false">001_MikiZiso3!$F44</f>
        <v>1</v>
      </c>
      <c r="H58" s="53" t="n">
        <f aca="false">001_MikiZiso3!$G44</f>
        <v>0</v>
      </c>
      <c r="I58" s="54" t="str">
        <f aca="false">IF(OR(H58="",G58=""),"",IF(G58&gt;H58,"I",IF(G58=H58,"X","II")))</f>
        <v>I</v>
      </c>
      <c r="J58" s="53" t="str">
        <f aca="false">IF($E58="","",IF(I58=$E58,$E$175,0)+IF(AND($C58=G58,$D58=H58),$E$176,0))</f>
        <v/>
      </c>
      <c r="L58" s="53" t="n">
        <f aca="false">002_MikiZiso2!$F44</f>
        <v>1</v>
      </c>
      <c r="M58" s="53" t="n">
        <f aca="false">002_MikiZiso2!$G44</f>
        <v>0</v>
      </c>
      <c r="N58" s="54" t="str">
        <f aca="false">IF(OR(M58="",L58=""),"",IF(L58&gt;M58,"I",IF(L58=M58,"X","II")))</f>
        <v>I</v>
      </c>
      <c r="O58" s="53" t="str">
        <f aca="false">IF($E58="","",IF(N58=$E58,$E$175,0)+IF(AND($C58=L58,$D58=M58),$E$176,0))</f>
        <v/>
      </c>
      <c r="Q58" s="53" t="n">
        <f aca="false">003_Miki_Ziso!$F44</f>
        <v>1</v>
      </c>
      <c r="R58" s="53" t="n">
        <f aca="false">003_Miki_Ziso!$G44</f>
        <v>0</v>
      </c>
      <c r="S58" s="54" t="str">
        <f aca="false">IF(OR(R58="",Q58=""),"",IF(Q58&gt;R58,"I",IF(Q58=R58,"X","II")))</f>
        <v>I</v>
      </c>
      <c r="T58" s="53" t="str">
        <f aca="false">IF($E58="","",IF(S58=$E58,$E$175,0)+IF(AND($C58=Q58,$D58=R58),$E$176,0))</f>
        <v/>
      </c>
      <c r="V58" s="53" t="n">
        <f aca="false">004_Nir1!$F44</f>
        <v>1</v>
      </c>
      <c r="W58" s="53" t="n">
        <f aca="false">004_Nir1!$G44</f>
        <v>1</v>
      </c>
      <c r="X58" s="54" t="str">
        <f aca="false">IF(OR(W58="",V58=""),"",IF(V58&gt;W58,"I",IF(V58=W58,"X","II")))</f>
        <v>X</v>
      </c>
      <c r="Y58" s="53" t="str">
        <f aca="false">IF($E58="","",IF(X58=$E58,$E$175,0)+IF(AND($C58=V58,$D58=W58),$E$176,0))</f>
        <v/>
      </c>
      <c r="AA58" s="53" t="n">
        <f aca="false">005_Nir2!$F44</f>
        <v>2</v>
      </c>
      <c r="AB58" s="53" t="n">
        <f aca="false">005_Nir2!$G44</f>
        <v>2</v>
      </c>
      <c r="AC58" s="54" t="str">
        <f aca="false">IF(OR(AB58="",AA58=""),"",IF(AA58&gt;AB58,"I",IF(AA58=AB58,"X","II")))</f>
        <v>X</v>
      </c>
      <c r="AD58" s="53" t="str">
        <f aca="false">IF($E58="","",IF(AC58=$E58,$E$175,0)+IF(AND($C58=AA58,$D58=AB58),$E$176,0))</f>
        <v/>
      </c>
      <c r="AF58" s="53" t="n">
        <f aca="false">006_Nir3!$F44</f>
        <v>1</v>
      </c>
      <c r="AG58" s="53" t="n">
        <f aca="false">006_Nir3!$G44</f>
        <v>4</v>
      </c>
      <c r="AH58" s="54" t="str">
        <f aca="false">IF(OR(AG58="",AF58=""),"",IF(AF58&gt;AG58,"I",IF(AF58=AG58,"X","II")))</f>
        <v>II</v>
      </c>
      <c r="AI58" s="53" t="str">
        <f aca="false">IF($E58="","",IF(AH58=$E58,$E$175,0)+IF(AND($C58=AF58,$D58=AG58),$E$176,0))</f>
        <v/>
      </c>
    </row>
    <row r="59" customFormat="false" ht="14.25" hidden="false" customHeight="true" outlineLevel="0" collapsed="false">
      <c r="A59" s="6" t="n">
        <v>39</v>
      </c>
      <c r="B59" s="6" t="s">
        <v>50</v>
      </c>
      <c r="C59" s="52" t="str">
        <f aca="false">IF(Summary!L42="","",Summary!L42)</f>
        <v/>
      </c>
      <c r="D59" s="52" t="str">
        <f aca="false">IF(Summary!M42="","",Summary!M42)</f>
        <v/>
      </c>
      <c r="E59" s="14" t="str">
        <f aca="false">IF(OR(D59="",C59=""),"",IF(C59&gt;D59,"I",IF(C59=D59,"X","II")))</f>
        <v/>
      </c>
      <c r="F59" s="6"/>
      <c r="G59" s="53" t="n">
        <f aca="false">001_MikiZiso3!$F45</f>
        <v>2</v>
      </c>
      <c r="H59" s="53" t="n">
        <f aca="false">001_MikiZiso3!$G45</f>
        <v>2</v>
      </c>
      <c r="I59" s="54" t="str">
        <f aca="false">IF(OR(H59="",G59=""),"",IF(G59&gt;H59,"I",IF(G59=H59,"X","II")))</f>
        <v>X</v>
      </c>
      <c r="J59" s="53" t="str">
        <f aca="false">IF($E59="","",IF(I59=$E59,$E$175,0)+IF(AND($C59=G59,$D59=H59),$E$176,0))</f>
        <v/>
      </c>
      <c r="L59" s="53" t="n">
        <f aca="false">002_MikiZiso2!$F45</f>
        <v>2</v>
      </c>
      <c r="M59" s="53" t="n">
        <f aca="false">002_MikiZiso2!$G45</f>
        <v>2</v>
      </c>
      <c r="N59" s="54" t="str">
        <f aca="false">IF(OR(M59="",L59=""),"",IF(L59&gt;M59,"I",IF(L59=M59,"X","II")))</f>
        <v>X</v>
      </c>
      <c r="O59" s="53" t="str">
        <f aca="false">IF($E59="","",IF(N59=$E59,$E$175,0)+IF(AND($C59=L59,$D59=M59),$E$176,0))</f>
        <v/>
      </c>
      <c r="Q59" s="53" t="n">
        <f aca="false">003_Miki_Ziso!$F45</f>
        <v>2</v>
      </c>
      <c r="R59" s="53" t="n">
        <f aca="false">003_Miki_Ziso!$G45</f>
        <v>2</v>
      </c>
      <c r="S59" s="54" t="str">
        <f aca="false">IF(OR(R59="",Q59=""),"",IF(Q59&gt;R59,"I",IF(Q59=R59,"X","II")))</f>
        <v>X</v>
      </c>
      <c r="T59" s="53" t="str">
        <f aca="false">IF($E59="","",IF(S59=$E59,$E$175,0)+IF(AND($C59=Q59,$D59=R59),$E$176,0))</f>
        <v/>
      </c>
      <c r="V59" s="53" t="n">
        <f aca="false">004_Nir1!$F45</f>
        <v>1</v>
      </c>
      <c r="W59" s="53" t="n">
        <f aca="false">004_Nir1!$G45</f>
        <v>2</v>
      </c>
      <c r="X59" s="54" t="str">
        <f aca="false">IF(OR(W59="",V59=""),"",IF(V59&gt;W59,"I",IF(V59=W59,"X","II")))</f>
        <v>II</v>
      </c>
      <c r="Y59" s="53" t="str">
        <f aca="false">IF($E59="","",IF(X59=$E59,$E$175,0)+IF(AND($C59=V59,$D59=W59),$E$176,0))</f>
        <v/>
      </c>
      <c r="AA59" s="53" t="n">
        <f aca="false">005_Nir2!$F45</f>
        <v>3</v>
      </c>
      <c r="AB59" s="53" t="n">
        <f aca="false">005_Nir2!$G45</f>
        <v>1</v>
      </c>
      <c r="AC59" s="54" t="str">
        <f aca="false">IF(OR(AB59="",AA59=""),"",IF(AA59&gt;AB59,"I",IF(AA59=AB59,"X","II")))</f>
        <v>I</v>
      </c>
      <c r="AD59" s="53" t="str">
        <f aca="false">IF($E59="","",IF(AC59=$E59,$E$175,0)+IF(AND($C59=AA59,$D59=AB59),$E$176,0))</f>
        <v/>
      </c>
      <c r="AF59" s="53" t="n">
        <f aca="false">006_Nir3!$F45</f>
        <v>0</v>
      </c>
      <c r="AG59" s="53" t="n">
        <f aca="false">006_Nir3!$G45</f>
        <v>0</v>
      </c>
      <c r="AH59" s="54" t="str">
        <f aca="false">IF(OR(AG59="",AF59=""),"",IF(AF59&gt;AG59,"I",IF(AF59=AG59,"X","II")))</f>
        <v>X</v>
      </c>
      <c r="AI59" s="53" t="str">
        <f aca="false">IF($E59="","",IF(AH59=$E59,$E$175,0)+IF(AND($C59=AF59,$D59=AG59),$E$176,0))</f>
        <v/>
      </c>
    </row>
    <row r="60" customFormat="false" ht="14.25" hidden="false" customHeight="true" outlineLevel="0" collapsed="false">
      <c r="A60" s="6" t="n">
        <v>40</v>
      </c>
      <c r="B60" s="6" t="s">
        <v>51</v>
      </c>
      <c r="C60" s="52" t="str">
        <f aca="false">IF(Summary!L43="","",Summary!L43)</f>
        <v/>
      </c>
      <c r="D60" s="52" t="str">
        <f aca="false">IF(Summary!M43="","",Summary!M43)</f>
        <v/>
      </c>
      <c r="E60" s="14" t="str">
        <f aca="false">IF(OR(D60="",C60=""),"",IF(C60&gt;D60,"I",IF(C60=D60,"X","II")))</f>
        <v/>
      </c>
      <c r="F60" s="6"/>
      <c r="G60" s="53" t="n">
        <f aca="false">001_MikiZiso3!$F46</f>
        <v>0</v>
      </c>
      <c r="H60" s="53" t="n">
        <f aca="false">001_MikiZiso3!$G46</f>
        <v>2</v>
      </c>
      <c r="I60" s="54" t="str">
        <f aca="false">IF(OR(H60="",G60=""),"",IF(G60&gt;H60,"I",IF(G60=H60,"X","II")))</f>
        <v>II</v>
      </c>
      <c r="J60" s="53" t="str">
        <f aca="false">IF($E60="","",IF(I60=$E60,$E$175,0)+IF(AND($C60=G60,$D60=H60),$E$176,0))</f>
        <v/>
      </c>
      <c r="L60" s="53" t="n">
        <f aca="false">002_MikiZiso2!$F46</f>
        <v>0</v>
      </c>
      <c r="M60" s="53" t="n">
        <f aca="false">002_MikiZiso2!$G46</f>
        <v>2</v>
      </c>
      <c r="N60" s="54" t="str">
        <f aca="false">IF(OR(M60="",L60=""),"",IF(L60&gt;M60,"I",IF(L60=M60,"X","II")))</f>
        <v>II</v>
      </c>
      <c r="O60" s="53" t="str">
        <f aca="false">IF($E60="","",IF(N60=$E60,$E$175,0)+IF(AND($C60=L60,$D60=M60),$E$176,0))</f>
        <v/>
      </c>
      <c r="Q60" s="53" t="n">
        <f aca="false">003_Miki_Ziso!$F46</f>
        <v>0</v>
      </c>
      <c r="R60" s="53" t="n">
        <f aca="false">003_Miki_Ziso!$G46</f>
        <v>2</v>
      </c>
      <c r="S60" s="54" t="str">
        <f aca="false">IF(OR(R60="",Q60=""),"",IF(Q60&gt;R60,"I",IF(Q60=R60,"X","II")))</f>
        <v>II</v>
      </c>
      <c r="T60" s="53" t="str">
        <f aca="false">IF($E60="","",IF(S60=$E60,$E$175,0)+IF(AND($C60=Q60,$D60=R60),$E$176,0))</f>
        <v/>
      </c>
      <c r="V60" s="53" t="n">
        <f aca="false">004_Nir1!$F46</f>
        <v>1</v>
      </c>
      <c r="W60" s="53" t="n">
        <f aca="false">004_Nir1!$G46</f>
        <v>1</v>
      </c>
      <c r="X60" s="54" t="str">
        <f aca="false">IF(OR(W60="",V60=""),"",IF(V60&gt;W60,"I",IF(V60=W60,"X","II")))</f>
        <v>X</v>
      </c>
      <c r="Y60" s="53" t="str">
        <f aca="false">IF($E60="","",IF(X60=$E60,$E$175,0)+IF(AND($C60=V60,$D60=W60),$E$176,0))</f>
        <v/>
      </c>
      <c r="AA60" s="53" t="n">
        <f aca="false">005_Nir2!$F46</f>
        <v>4</v>
      </c>
      <c r="AB60" s="53" t="n">
        <f aca="false">005_Nir2!$G46</f>
        <v>3</v>
      </c>
      <c r="AC60" s="54" t="str">
        <f aca="false">IF(OR(AB60="",AA60=""),"",IF(AA60&gt;AB60,"I",IF(AA60=AB60,"X","II")))</f>
        <v>I</v>
      </c>
      <c r="AD60" s="53" t="str">
        <f aca="false">IF($E60="","",IF(AC60=$E60,$E$175,0)+IF(AND($C60=AA60,$D60=AB60),$E$176,0))</f>
        <v/>
      </c>
      <c r="AF60" s="53" t="n">
        <f aca="false">006_Nir3!$F46</f>
        <v>2</v>
      </c>
      <c r="AG60" s="53" t="n">
        <f aca="false">006_Nir3!$G46</f>
        <v>1</v>
      </c>
      <c r="AH60" s="54" t="str">
        <f aca="false">IF(OR(AG60="",AF60=""),"",IF(AF60&gt;AG60,"I",IF(AF60=AG60,"X","II")))</f>
        <v>I</v>
      </c>
      <c r="AI60" s="53" t="str">
        <f aca="false">IF($E60="","",IF(AH60=$E60,$E$175,0)+IF(AND($C60=AF60,$D60=AG60),$E$176,0))</f>
        <v/>
      </c>
    </row>
    <row r="61" customFormat="false" ht="14.25" hidden="false" customHeight="true" outlineLevel="0" collapsed="false">
      <c r="A61" s="6" t="n">
        <v>41</v>
      </c>
      <c r="B61" s="6" t="s">
        <v>52</v>
      </c>
      <c r="C61" s="52" t="str">
        <f aca="false">IF(Summary!L44="","",Summary!L44)</f>
        <v/>
      </c>
      <c r="D61" s="52" t="str">
        <f aca="false">IF(Summary!M44="","",Summary!M44)</f>
        <v/>
      </c>
      <c r="E61" s="14" t="str">
        <f aca="false">IF(OR(D61="",C61=""),"",IF(C61&gt;D61,"I",IF(C61=D61,"X","II")))</f>
        <v/>
      </c>
      <c r="F61" s="6"/>
      <c r="G61" s="53" t="n">
        <f aca="false">001_MikiZiso3!$F47</f>
        <v>1</v>
      </c>
      <c r="H61" s="53" t="n">
        <f aca="false">001_MikiZiso3!$G47</f>
        <v>0</v>
      </c>
      <c r="I61" s="54" t="str">
        <f aca="false">IF(OR(H61="",G61=""),"",IF(G61&gt;H61,"I",IF(G61=H61,"X","II")))</f>
        <v>I</v>
      </c>
      <c r="J61" s="53" t="str">
        <f aca="false">IF($E61="","",IF(I61=$E61,$E$175,0)+IF(AND($C61=G61,$D61=H61),$E$176,0))</f>
        <v/>
      </c>
      <c r="L61" s="53" t="n">
        <f aca="false">002_MikiZiso2!$F47</f>
        <v>1</v>
      </c>
      <c r="M61" s="53" t="n">
        <f aca="false">002_MikiZiso2!$G47</f>
        <v>0</v>
      </c>
      <c r="N61" s="54" t="str">
        <f aca="false">IF(OR(M61="",L61=""),"",IF(L61&gt;M61,"I",IF(L61=M61,"X","II")))</f>
        <v>I</v>
      </c>
      <c r="O61" s="53" t="str">
        <f aca="false">IF($E61="","",IF(N61=$E61,$E$175,0)+IF(AND($C61=L61,$D61=M61),$E$176,0))</f>
        <v/>
      </c>
      <c r="Q61" s="53" t="n">
        <f aca="false">003_Miki_Ziso!$F47</f>
        <v>1</v>
      </c>
      <c r="R61" s="53" t="n">
        <f aca="false">003_Miki_Ziso!$G47</f>
        <v>0</v>
      </c>
      <c r="S61" s="54" t="str">
        <f aca="false">IF(OR(R61="",Q61=""),"",IF(Q61&gt;R61,"I",IF(Q61=R61,"X","II")))</f>
        <v>I</v>
      </c>
      <c r="T61" s="53" t="str">
        <f aca="false">IF($E61="","",IF(S61=$E61,$E$175,0)+IF(AND($C61=Q61,$D61=R61),$E$176,0))</f>
        <v/>
      </c>
      <c r="V61" s="53" t="n">
        <f aca="false">004_Nir1!$F47</f>
        <v>2</v>
      </c>
      <c r="W61" s="53" t="n">
        <f aca="false">004_Nir1!$G47</f>
        <v>2</v>
      </c>
      <c r="X61" s="54" t="str">
        <f aca="false">IF(OR(W61="",V61=""),"",IF(V61&gt;W61,"I",IF(V61=W61,"X","II")))</f>
        <v>X</v>
      </c>
      <c r="Y61" s="53" t="str">
        <f aca="false">IF($E61="","",IF(X61=$E61,$E$175,0)+IF(AND($C61=V61,$D61=W61),$E$176,0))</f>
        <v/>
      </c>
      <c r="AA61" s="53" t="n">
        <f aca="false">005_Nir2!$F47</f>
        <v>0</v>
      </c>
      <c r="AB61" s="53" t="n">
        <f aca="false">005_Nir2!$G47</f>
        <v>3</v>
      </c>
      <c r="AC61" s="54" t="str">
        <f aca="false">IF(OR(AB61="",AA61=""),"",IF(AA61&gt;AB61,"I",IF(AA61=AB61,"X","II")))</f>
        <v>II</v>
      </c>
      <c r="AD61" s="53" t="str">
        <f aca="false">IF($E61="","",IF(AC61=$E61,$E$175,0)+IF(AND($C61=AA61,$D61=AB61),$E$176,0))</f>
        <v/>
      </c>
      <c r="AF61" s="53" t="n">
        <f aca="false">006_Nir3!$F47</f>
        <v>3</v>
      </c>
      <c r="AG61" s="53" t="n">
        <f aca="false">006_Nir3!$G47</f>
        <v>0</v>
      </c>
      <c r="AH61" s="54" t="str">
        <f aca="false">IF(OR(AG61="",AF61=""),"",IF(AF61&gt;AG61,"I",IF(AF61=AG61,"X","II")))</f>
        <v>I</v>
      </c>
      <c r="AI61" s="53" t="str">
        <f aca="false">IF($E61="","",IF(AH61=$E61,$E$175,0)+IF(AND($C61=AF61,$D61=AG61),$E$176,0))</f>
        <v/>
      </c>
    </row>
    <row r="62" customFormat="false" ht="14.25" hidden="false" customHeight="true" outlineLevel="0" collapsed="false">
      <c r="A62" s="6" t="n">
        <v>42</v>
      </c>
      <c r="B62" s="6" t="s">
        <v>53</v>
      </c>
      <c r="C62" s="52" t="str">
        <f aca="false">IF(Summary!L45="","",Summary!L45)</f>
        <v/>
      </c>
      <c r="D62" s="52" t="str">
        <f aca="false">IF(Summary!M45="","",Summary!M45)</f>
        <v/>
      </c>
      <c r="E62" s="14" t="str">
        <f aca="false">IF(OR(D62="",C62=""),"",IF(C62&gt;D62,"I",IF(C62=D62,"X","II")))</f>
        <v/>
      </c>
      <c r="F62" s="6"/>
      <c r="G62" s="53" t="n">
        <f aca="false">001_MikiZiso3!$F48</f>
        <v>2</v>
      </c>
      <c r="H62" s="53" t="n">
        <f aca="false">001_MikiZiso3!$G48</f>
        <v>0</v>
      </c>
      <c r="I62" s="54" t="str">
        <f aca="false">IF(OR(H62="",G62=""),"",IF(G62&gt;H62,"I",IF(G62=H62,"X","II")))</f>
        <v>I</v>
      </c>
      <c r="J62" s="53" t="str">
        <f aca="false">IF($E62="","",IF(I62=$E62,$E$175,0)+IF(AND($C62=G62,$D62=H62),$E$176,0))</f>
        <v/>
      </c>
      <c r="L62" s="53" t="n">
        <f aca="false">002_MikiZiso2!$F48</f>
        <v>2</v>
      </c>
      <c r="M62" s="53" t="n">
        <f aca="false">002_MikiZiso2!$G48</f>
        <v>0</v>
      </c>
      <c r="N62" s="54" t="str">
        <f aca="false">IF(OR(M62="",L62=""),"",IF(L62&gt;M62,"I",IF(L62=M62,"X","II")))</f>
        <v>I</v>
      </c>
      <c r="O62" s="53" t="str">
        <f aca="false">IF($E62="","",IF(N62=$E62,$E$175,0)+IF(AND($C62=L62,$D62=M62),$E$176,0))</f>
        <v/>
      </c>
      <c r="Q62" s="53" t="n">
        <f aca="false">003_Miki_Ziso!$F48</f>
        <v>1</v>
      </c>
      <c r="R62" s="53" t="n">
        <f aca="false">003_Miki_Ziso!$G48</f>
        <v>0</v>
      </c>
      <c r="S62" s="54" t="str">
        <f aca="false">IF(OR(R62="",Q62=""),"",IF(Q62&gt;R62,"I",IF(Q62=R62,"X","II")))</f>
        <v>I</v>
      </c>
      <c r="T62" s="53" t="str">
        <f aca="false">IF($E62="","",IF(S62=$E62,$E$175,0)+IF(AND($C62=Q62,$D62=R62),$E$176,0))</f>
        <v/>
      </c>
      <c r="V62" s="53" t="n">
        <f aca="false">004_Nir1!$F48</f>
        <v>1</v>
      </c>
      <c r="W62" s="53" t="n">
        <f aca="false">004_Nir1!$G48</f>
        <v>1</v>
      </c>
      <c r="X62" s="54" t="str">
        <f aca="false">IF(OR(W62="",V62=""),"",IF(V62&gt;W62,"I",IF(V62=W62,"X","II")))</f>
        <v>X</v>
      </c>
      <c r="Y62" s="53" t="str">
        <f aca="false">IF($E62="","",IF(X62=$E62,$E$175,0)+IF(AND($C62=V62,$D62=W62),$E$176,0))</f>
        <v/>
      </c>
      <c r="AA62" s="53" t="n">
        <f aca="false">005_Nir2!$F48</f>
        <v>3</v>
      </c>
      <c r="AB62" s="53" t="n">
        <f aca="false">005_Nir2!$G48</f>
        <v>3</v>
      </c>
      <c r="AC62" s="54" t="str">
        <f aca="false">IF(OR(AB62="",AA62=""),"",IF(AA62&gt;AB62,"I",IF(AA62=AB62,"X","II")))</f>
        <v>X</v>
      </c>
      <c r="AD62" s="53" t="str">
        <f aca="false">IF($E62="","",IF(AC62=$E62,$E$175,0)+IF(AND($C62=AA62,$D62=AB62),$E$176,0))</f>
        <v/>
      </c>
      <c r="AF62" s="53" t="n">
        <f aca="false">006_Nir3!$F48</f>
        <v>1</v>
      </c>
      <c r="AG62" s="53" t="n">
        <f aca="false">006_Nir3!$G48</f>
        <v>1</v>
      </c>
      <c r="AH62" s="54" t="str">
        <f aca="false">IF(OR(AG62="",AF62=""),"",IF(AF62&gt;AG62,"I",IF(AF62=AG62,"X","II")))</f>
        <v>X</v>
      </c>
      <c r="AI62" s="53" t="str">
        <f aca="false">IF($E62="","",IF(AH62=$E62,$E$175,0)+IF(AND($C62=AF62,$D62=AG62),$E$176,0))</f>
        <v/>
      </c>
    </row>
    <row r="63" customFormat="false" ht="14.25" hidden="false" customHeight="true" outlineLevel="0" collapsed="false">
      <c r="A63" s="6" t="n">
        <v>43</v>
      </c>
      <c r="B63" s="6" t="s">
        <v>54</v>
      </c>
      <c r="C63" s="52" t="str">
        <f aca="false">IF(Summary!L46="","",Summary!L46)</f>
        <v/>
      </c>
      <c r="D63" s="52" t="str">
        <f aca="false">IF(Summary!M46="","",Summary!M46)</f>
        <v/>
      </c>
      <c r="E63" s="14" t="str">
        <f aca="false">IF(OR(D63="",C63=""),"",IF(C63&gt;D63,"I",IF(C63=D63,"X","II")))</f>
        <v/>
      </c>
      <c r="F63" s="6"/>
      <c r="G63" s="53" t="n">
        <f aca="false">001_MikiZiso3!$F49</f>
        <v>2</v>
      </c>
      <c r="H63" s="53" t="n">
        <f aca="false">001_MikiZiso3!$G49</f>
        <v>0</v>
      </c>
      <c r="I63" s="54" t="str">
        <f aca="false">IF(OR(H63="",G63=""),"",IF(G63&gt;H63,"I",IF(G63=H63,"X","II")))</f>
        <v>I</v>
      </c>
      <c r="J63" s="53" t="str">
        <f aca="false">IF($E63="","",IF(I63=$E63,$E$175,0)+IF(AND($C63=G63,$D63=H63),$E$176,0))</f>
        <v/>
      </c>
      <c r="L63" s="53" t="n">
        <f aca="false">002_MikiZiso2!$F49</f>
        <v>2</v>
      </c>
      <c r="M63" s="53" t="n">
        <f aca="false">002_MikiZiso2!$G49</f>
        <v>0</v>
      </c>
      <c r="N63" s="54" t="str">
        <f aca="false">IF(OR(M63="",L63=""),"",IF(L63&gt;M63,"I",IF(L63=M63,"X","II")))</f>
        <v>I</v>
      </c>
      <c r="O63" s="53" t="str">
        <f aca="false">IF($E63="","",IF(N63=$E63,$E$175,0)+IF(AND($C63=L63,$D63=M63),$E$176,0))</f>
        <v/>
      </c>
      <c r="Q63" s="53" t="n">
        <f aca="false">003_Miki_Ziso!$F49</f>
        <v>1</v>
      </c>
      <c r="R63" s="53" t="n">
        <f aca="false">003_Miki_Ziso!$G49</f>
        <v>0</v>
      </c>
      <c r="S63" s="54" t="str">
        <f aca="false">IF(OR(R63="",Q63=""),"",IF(Q63&gt;R63,"I",IF(Q63=R63,"X","II")))</f>
        <v>I</v>
      </c>
      <c r="T63" s="53" t="str">
        <f aca="false">IF($E63="","",IF(S63=$E63,$E$175,0)+IF(AND($C63=Q63,$D63=R63),$E$176,0))</f>
        <v/>
      </c>
      <c r="V63" s="53" t="n">
        <f aca="false">004_Nir1!$F49</f>
        <v>2</v>
      </c>
      <c r="W63" s="53" t="n">
        <f aca="false">004_Nir1!$G49</f>
        <v>3</v>
      </c>
      <c r="X63" s="54" t="str">
        <f aca="false">IF(OR(W63="",V63=""),"",IF(V63&gt;W63,"I",IF(V63=W63,"X","II")))</f>
        <v>II</v>
      </c>
      <c r="Y63" s="53" t="str">
        <f aca="false">IF($E63="","",IF(X63=$E63,$E$175,0)+IF(AND($C63=V63,$D63=W63),$E$176,0))</f>
        <v/>
      </c>
      <c r="AA63" s="53" t="n">
        <f aca="false">005_Nir2!$F49</f>
        <v>3</v>
      </c>
      <c r="AB63" s="53" t="n">
        <f aca="false">005_Nir2!$G49</f>
        <v>4</v>
      </c>
      <c r="AC63" s="54" t="str">
        <f aca="false">IF(OR(AB63="",AA63=""),"",IF(AA63&gt;AB63,"I",IF(AA63=AB63,"X","II")))</f>
        <v>II</v>
      </c>
      <c r="AD63" s="53" t="str">
        <f aca="false">IF($E63="","",IF(AC63=$E63,$E$175,0)+IF(AND($C63=AA63,$D63=AB63),$E$176,0))</f>
        <v/>
      </c>
      <c r="AF63" s="53" t="n">
        <f aca="false">006_Nir3!$F49</f>
        <v>0</v>
      </c>
      <c r="AG63" s="53" t="n">
        <f aca="false">006_Nir3!$G49</f>
        <v>0</v>
      </c>
      <c r="AH63" s="54" t="str">
        <f aca="false">IF(OR(AG63="",AF63=""),"",IF(AF63&gt;AG63,"I",IF(AF63=AG63,"X","II")))</f>
        <v>X</v>
      </c>
      <c r="AI63" s="53" t="str">
        <f aca="false">IF($E63="","",IF(AH63=$E63,$E$175,0)+IF(AND($C63=AF63,$D63=AG63),$E$176,0))</f>
        <v/>
      </c>
    </row>
    <row r="64" customFormat="false" ht="14.25" hidden="false" customHeight="true" outlineLevel="0" collapsed="false">
      <c r="A64" s="6" t="n">
        <v>44</v>
      </c>
      <c r="B64" s="6" t="s">
        <v>55</v>
      </c>
      <c r="C64" s="52" t="str">
        <f aca="false">IF(Summary!L47="","",Summary!L47)</f>
        <v/>
      </c>
      <c r="D64" s="52" t="str">
        <f aca="false">IF(Summary!M47="","",Summary!M47)</f>
        <v/>
      </c>
      <c r="E64" s="14" t="str">
        <f aca="false">IF(OR(D64="",C64=""),"",IF(C64&gt;D64,"I",IF(C64=D64,"X","II")))</f>
        <v/>
      </c>
      <c r="F64" s="6"/>
      <c r="G64" s="53" t="n">
        <f aca="false">001_MikiZiso3!$F50</f>
        <v>0</v>
      </c>
      <c r="H64" s="53" t="n">
        <f aca="false">001_MikiZiso3!$G50</f>
        <v>2</v>
      </c>
      <c r="I64" s="54" t="str">
        <f aca="false">IF(OR(H64="",G64=""),"",IF(G64&gt;H64,"I",IF(G64=H64,"X","II")))</f>
        <v>II</v>
      </c>
      <c r="J64" s="53" t="str">
        <f aca="false">IF($E64="","",IF(I64=$E64,$E$175,0)+IF(AND($C64=G64,$D64=H64),$E$176,0))</f>
        <v/>
      </c>
      <c r="L64" s="53" t="n">
        <f aca="false">002_MikiZiso2!$F50</f>
        <v>0</v>
      </c>
      <c r="M64" s="53" t="n">
        <f aca="false">002_MikiZiso2!$G50</f>
        <v>2</v>
      </c>
      <c r="N64" s="54" t="str">
        <f aca="false">IF(OR(M64="",L64=""),"",IF(L64&gt;M64,"I",IF(L64=M64,"X","II")))</f>
        <v>II</v>
      </c>
      <c r="O64" s="53" t="str">
        <f aca="false">IF($E64="","",IF(N64=$E64,$E$175,0)+IF(AND($C64=L64,$D64=M64),$E$176,0))</f>
        <v/>
      </c>
      <c r="Q64" s="53" t="n">
        <f aca="false">003_Miki_Ziso!$F50</f>
        <v>0</v>
      </c>
      <c r="R64" s="53" t="n">
        <f aca="false">003_Miki_Ziso!$G50</f>
        <v>2</v>
      </c>
      <c r="S64" s="54" t="str">
        <f aca="false">IF(OR(R64="",Q64=""),"",IF(Q64&gt;R64,"I",IF(Q64=R64,"X","II")))</f>
        <v>II</v>
      </c>
      <c r="T64" s="53" t="str">
        <f aca="false">IF($E64="","",IF(S64=$E64,$E$175,0)+IF(AND($C64=Q64,$D64=R64),$E$176,0))</f>
        <v/>
      </c>
      <c r="V64" s="53" t="n">
        <f aca="false">004_Nir1!$F50</f>
        <v>3</v>
      </c>
      <c r="W64" s="53" t="n">
        <f aca="false">004_Nir1!$G50</f>
        <v>4</v>
      </c>
      <c r="X64" s="54" t="str">
        <f aca="false">IF(OR(W64="",V64=""),"",IF(V64&gt;W64,"I",IF(V64=W64,"X","II")))</f>
        <v>II</v>
      </c>
      <c r="Y64" s="53" t="str">
        <f aca="false">IF($E64="","",IF(X64=$E64,$E$175,0)+IF(AND($C64=V64,$D64=W64),$E$176,0))</f>
        <v/>
      </c>
      <c r="AA64" s="53" t="n">
        <f aca="false">005_Nir2!$F50</f>
        <v>0</v>
      </c>
      <c r="AB64" s="53" t="n">
        <f aca="false">005_Nir2!$G50</f>
        <v>0</v>
      </c>
      <c r="AC64" s="54" t="str">
        <f aca="false">IF(OR(AB64="",AA64=""),"",IF(AA64&gt;AB64,"I",IF(AA64=AB64,"X","II")))</f>
        <v>X</v>
      </c>
      <c r="AD64" s="53" t="str">
        <f aca="false">IF($E64="","",IF(AC64=$E64,$E$175,0)+IF(AND($C64=AA64,$D64=AB64),$E$176,0))</f>
        <v/>
      </c>
      <c r="AF64" s="53" t="n">
        <f aca="false">006_Nir3!$F50</f>
        <v>1</v>
      </c>
      <c r="AG64" s="53" t="n">
        <f aca="false">006_Nir3!$G50</f>
        <v>2</v>
      </c>
      <c r="AH64" s="54" t="str">
        <f aca="false">IF(OR(AG64="",AF64=""),"",IF(AF64&gt;AG64,"I",IF(AF64=AG64,"X","II")))</f>
        <v>II</v>
      </c>
      <c r="AI64" s="53" t="str">
        <f aca="false">IF($E64="","",IF(AH64=$E64,$E$175,0)+IF(AND($C64=AF64,$D64=AG64),$E$176,0))</f>
        <v/>
      </c>
    </row>
    <row r="65" customFormat="false" ht="14.25" hidden="false" customHeight="true" outlineLevel="0" collapsed="false">
      <c r="A65" s="6" t="n">
        <v>45</v>
      </c>
      <c r="B65" s="6" t="s">
        <v>56</v>
      </c>
      <c r="C65" s="52" t="str">
        <f aca="false">IF(Summary!L48="","",Summary!L48)</f>
        <v/>
      </c>
      <c r="D65" s="52" t="str">
        <f aca="false">IF(Summary!M48="","",Summary!M48)</f>
        <v/>
      </c>
      <c r="E65" s="14" t="str">
        <f aca="false">IF(OR(D65="",C65=""),"",IF(C65&gt;D65,"I",IF(C65=D65,"X","II")))</f>
        <v/>
      </c>
      <c r="F65" s="6"/>
      <c r="G65" s="53" t="n">
        <f aca="false">001_MikiZiso3!$F51</f>
        <v>2</v>
      </c>
      <c r="H65" s="53" t="n">
        <f aca="false">001_MikiZiso3!$G51</f>
        <v>0</v>
      </c>
      <c r="I65" s="54" t="str">
        <f aca="false">IF(OR(H65="",G65=""),"",IF(G65&gt;H65,"I",IF(G65=H65,"X","II")))</f>
        <v>I</v>
      </c>
      <c r="J65" s="53" t="str">
        <f aca="false">IF($E65="","",IF(I65=$E65,$E$175,0)+IF(AND($C65=G65,$D65=H65),$E$176,0))</f>
        <v/>
      </c>
      <c r="L65" s="53" t="n">
        <f aca="false">002_MikiZiso2!$F51</f>
        <v>2</v>
      </c>
      <c r="M65" s="53" t="n">
        <f aca="false">002_MikiZiso2!$G51</f>
        <v>0</v>
      </c>
      <c r="N65" s="54" t="str">
        <f aca="false">IF(OR(M65="",L65=""),"",IF(L65&gt;M65,"I",IF(L65=M65,"X","II")))</f>
        <v>I</v>
      </c>
      <c r="O65" s="53" t="str">
        <f aca="false">IF($E65="","",IF(N65=$E65,$E$175,0)+IF(AND($C65=L65,$D65=M65),$E$176,0))</f>
        <v/>
      </c>
      <c r="Q65" s="53" t="n">
        <f aca="false">003_Miki_Ziso!$F51</f>
        <v>2</v>
      </c>
      <c r="R65" s="53" t="n">
        <f aca="false">003_Miki_Ziso!$G51</f>
        <v>0</v>
      </c>
      <c r="S65" s="54" t="str">
        <f aca="false">IF(OR(R65="",Q65=""),"",IF(Q65&gt;R65,"I",IF(Q65=R65,"X","II")))</f>
        <v>I</v>
      </c>
      <c r="T65" s="53" t="str">
        <f aca="false">IF($E65="","",IF(S65=$E65,$E$175,0)+IF(AND($C65=Q65,$D65=R65),$E$176,0))</f>
        <v/>
      </c>
      <c r="V65" s="53" t="n">
        <f aca="false">004_Nir1!$F51</f>
        <v>4</v>
      </c>
      <c r="W65" s="53" t="n">
        <f aca="false">004_Nir1!$G51</f>
        <v>1</v>
      </c>
      <c r="X65" s="54" t="str">
        <f aca="false">IF(OR(W65="",V65=""),"",IF(V65&gt;W65,"I",IF(V65=W65,"X","II")))</f>
        <v>I</v>
      </c>
      <c r="Y65" s="53" t="str">
        <f aca="false">IF($E65="","",IF(X65=$E65,$E$175,0)+IF(AND($C65=V65,$D65=W65),$E$176,0))</f>
        <v/>
      </c>
      <c r="AA65" s="53" t="n">
        <f aca="false">005_Nir2!$F51</f>
        <v>1</v>
      </c>
      <c r="AB65" s="53" t="n">
        <f aca="false">005_Nir2!$G51</f>
        <v>1</v>
      </c>
      <c r="AC65" s="54" t="str">
        <f aca="false">IF(OR(AB65="",AA65=""),"",IF(AA65&gt;AB65,"I",IF(AA65=AB65,"X","II")))</f>
        <v>X</v>
      </c>
      <c r="AD65" s="53" t="str">
        <f aca="false">IF($E65="","",IF(AC65=$E65,$E$175,0)+IF(AND($C65=AA65,$D65=AB65),$E$176,0))</f>
        <v/>
      </c>
      <c r="AF65" s="53" t="n">
        <f aca="false">006_Nir3!$F51</f>
        <v>1</v>
      </c>
      <c r="AG65" s="53" t="n">
        <f aca="false">006_Nir3!$G51</f>
        <v>1</v>
      </c>
      <c r="AH65" s="54" t="str">
        <f aca="false">IF(OR(AG65="",AF65=""),"",IF(AF65&gt;AG65,"I",IF(AF65=AG65,"X","II")))</f>
        <v>X</v>
      </c>
      <c r="AI65" s="53" t="str">
        <f aca="false">IF($E65="","",IF(AH65=$E65,$E$175,0)+IF(AND($C65=AF65,$D65=AG65),$E$176,0))</f>
        <v/>
      </c>
    </row>
    <row r="66" customFormat="false" ht="14.25" hidden="false" customHeight="true" outlineLevel="0" collapsed="false">
      <c r="A66" s="6" t="n">
        <v>46</v>
      </c>
      <c r="B66" s="6" t="s">
        <v>57</v>
      </c>
      <c r="C66" s="52" t="str">
        <f aca="false">IF(Summary!L49="","",Summary!L49)</f>
        <v/>
      </c>
      <c r="D66" s="52" t="str">
        <f aca="false">IF(Summary!M49="","",Summary!M49)</f>
        <v/>
      </c>
      <c r="E66" s="14" t="str">
        <f aca="false">IF(OR(D66="",C66=""),"",IF(C66&gt;D66,"I",IF(C66=D66,"X","II")))</f>
        <v/>
      </c>
      <c r="F66" s="6"/>
      <c r="G66" s="53" t="n">
        <f aca="false">001_MikiZiso3!$F52</f>
        <v>0</v>
      </c>
      <c r="H66" s="53" t="n">
        <f aca="false">001_MikiZiso3!$G52</f>
        <v>2</v>
      </c>
      <c r="I66" s="54" t="str">
        <f aca="false">IF(OR(H66="",G66=""),"",IF(G66&gt;H66,"I",IF(G66=H66,"X","II")))</f>
        <v>II</v>
      </c>
      <c r="J66" s="53" t="str">
        <f aca="false">IF($E66="","",IF(I66=$E66,$E$175,0)+IF(AND($C66=G66,$D66=H66),$E$176,0))</f>
        <v/>
      </c>
      <c r="L66" s="53" t="n">
        <f aca="false">002_MikiZiso2!$F52</f>
        <v>0</v>
      </c>
      <c r="M66" s="53" t="n">
        <f aca="false">002_MikiZiso2!$G52</f>
        <v>2</v>
      </c>
      <c r="N66" s="54" t="str">
        <f aca="false">IF(OR(M66="",L66=""),"",IF(L66&gt;M66,"I",IF(L66=M66,"X","II")))</f>
        <v>II</v>
      </c>
      <c r="O66" s="53" t="str">
        <f aca="false">IF($E66="","",IF(N66=$E66,$E$175,0)+IF(AND($C66=L66,$D66=M66),$E$176,0))</f>
        <v/>
      </c>
      <c r="Q66" s="53" t="n">
        <f aca="false">003_Miki_Ziso!$F52</f>
        <v>0</v>
      </c>
      <c r="R66" s="53" t="n">
        <f aca="false">003_Miki_Ziso!$G52</f>
        <v>2</v>
      </c>
      <c r="S66" s="54" t="str">
        <f aca="false">IF(OR(R66="",Q66=""),"",IF(Q66&gt;R66,"I",IF(Q66=R66,"X","II")))</f>
        <v>II</v>
      </c>
      <c r="T66" s="53" t="str">
        <f aca="false">IF($E66="","",IF(S66=$E66,$E$175,0)+IF(AND($C66=Q66,$D66=R66),$E$176,0))</f>
        <v/>
      </c>
      <c r="V66" s="53" t="n">
        <f aca="false">004_Nir1!$F52</f>
        <v>3</v>
      </c>
      <c r="W66" s="53" t="n">
        <f aca="false">004_Nir1!$G52</f>
        <v>2</v>
      </c>
      <c r="X66" s="54" t="str">
        <f aca="false">IF(OR(W66="",V66=""),"",IF(V66&gt;W66,"I",IF(V66=W66,"X","II")))</f>
        <v>I</v>
      </c>
      <c r="Y66" s="53" t="str">
        <f aca="false">IF($E66="","",IF(X66=$E66,$E$175,0)+IF(AND($C66=V66,$D66=W66),$E$176,0))</f>
        <v/>
      </c>
      <c r="AA66" s="53" t="n">
        <f aca="false">005_Nir2!$F52</f>
        <v>0</v>
      </c>
      <c r="AB66" s="53" t="n">
        <f aca="false">005_Nir2!$G52</f>
        <v>0</v>
      </c>
      <c r="AC66" s="54" t="str">
        <f aca="false">IF(OR(AB66="",AA66=""),"",IF(AA66&gt;AB66,"I",IF(AA66=AB66,"X","II")))</f>
        <v>X</v>
      </c>
      <c r="AD66" s="53" t="str">
        <f aca="false">IF($E66="","",IF(AC66=$E66,$E$175,0)+IF(AND($C66=AA66,$D66=AB66),$E$176,0))</f>
        <v/>
      </c>
      <c r="AF66" s="53" t="n">
        <f aca="false">006_Nir3!$F52</f>
        <v>1</v>
      </c>
      <c r="AG66" s="53" t="n">
        <f aca="false">006_Nir3!$G52</f>
        <v>0</v>
      </c>
      <c r="AH66" s="54" t="str">
        <f aca="false">IF(OR(AG66="",AF66=""),"",IF(AF66&gt;AG66,"I",IF(AF66=AG66,"X","II")))</f>
        <v>I</v>
      </c>
      <c r="AI66" s="53" t="str">
        <f aca="false">IF($E66="","",IF(AH66=$E66,$E$175,0)+IF(AND($C66=AF66,$D66=AG66),$E$176,0))</f>
        <v/>
      </c>
    </row>
    <row r="67" customFormat="false" ht="14.25" hidden="false" customHeight="true" outlineLevel="0" collapsed="false">
      <c r="A67" s="6" t="n">
        <v>47</v>
      </c>
      <c r="B67" s="6" t="s">
        <v>58</v>
      </c>
      <c r="C67" s="52" t="str">
        <f aca="false">IF(Summary!L50="","",Summary!L50)</f>
        <v/>
      </c>
      <c r="D67" s="52" t="str">
        <f aca="false">IF(Summary!M50="","",Summary!M50)</f>
        <v/>
      </c>
      <c r="E67" s="14" t="str">
        <f aca="false">IF(OR(D67="",C67=""),"",IF(C67&gt;D67,"I",IF(C67=D67,"X","II")))</f>
        <v/>
      </c>
      <c r="F67" s="6"/>
      <c r="G67" s="53" t="n">
        <f aca="false">001_MikiZiso3!$F53</f>
        <v>2</v>
      </c>
      <c r="H67" s="53" t="n">
        <f aca="false">001_MikiZiso3!$G53</f>
        <v>0</v>
      </c>
      <c r="I67" s="54" t="str">
        <f aca="false">IF(OR(H67="",G67=""),"",IF(G67&gt;H67,"I",IF(G67=H67,"X","II")))</f>
        <v>I</v>
      </c>
      <c r="J67" s="53" t="str">
        <f aca="false">IF($E67="","",IF(I67=$E67,$E$175,0)+IF(AND($C67=G67,$D67=H67),$E$176,0))</f>
        <v/>
      </c>
      <c r="L67" s="53" t="n">
        <f aca="false">002_MikiZiso2!$F53</f>
        <v>2</v>
      </c>
      <c r="M67" s="53" t="n">
        <f aca="false">002_MikiZiso2!$G53</f>
        <v>0</v>
      </c>
      <c r="N67" s="54" t="str">
        <f aca="false">IF(OR(M67="",L67=""),"",IF(L67&gt;M67,"I",IF(L67=M67,"X","II")))</f>
        <v>I</v>
      </c>
      <c r="O67" s="53" t="str">
        <f aca="false">IF($E67="","",IF(N67=$E67,$E$175,0)+IF(AND($C67=L67,$D67=M67),$E$176,0))</f>
        <v/>
      </c>
      <c r="Q67" s="53" t="n">
        <f aca="false">003_Miki_Ziso!$F53</f>
        <v>2</v>
      </c>
      <c r="R67" s="53" t="n">
        <f aca="false">003_Miki_Ziso!$G53</f>
        <v>0</v>
      </c>
      <c r="S67" s="54" t="str">
        <f aca="false">IF(OR(R67="",Q67=""),"",IF(Q67&gt;R67,"I",IF(Q67=R67,"X","II")))</f>
        <v>I</v>
      </c>
      <c r="T67" s="53" t="str">
        <f aca="false">IF($E67="","",IF(S67=$E67,$E$175,0)+IF(AND($C67=Q67,$D67=R67),$E$176,0))</f>
        <v/>
      </c>
      <c r="V67" s="53" t="n">
        <f aca="false">004_Nir1!$F53</f>
        <v>2</v>
      </c>
      <c r="W67" s="53" t="n">
        <f aca="false">004_Nir1!$G53</f>
        <v>0</v>
      </c>
      <c r="X67" s="54" t="str">
        <f aca="false">IF(OR(W67="",V67=""),"",IF(V67&gt;W67,"I",IF(V67=W67,"X","II")))</f>
        <v>I</v>
      </c>
      <c r="Y67" s="53" t="str">
        <f aca="false">IF($E67="","",IF(X67=$E67,$E$175,0)+IF(AND($C67=V67,$D67=W67),$E$176,0))</f>
        <v/>
      </c>
      <c r="AA67" s="53" t="n">
        <f aca="false">005_Nir2!$F53</f>
        <v>0</v>
      </c>
      <c r="AB67" s="53" t="n">
        <f aca="false">005_Nir2!$G53</f>
        <v>0</v>
      </c>
      <c r="AC67" s="54" t="str">
        <f aca="false">IF(OR(AB67="",AA67=""),"",IF(AA67&gt;AB67,"I",IF(AA67=AB67,"X","II")))</f>
        <v>X</v>
      </c>
      <c r="AD67" s="53" t="str">
        <f aca="false">IF($E67="","",IF(AC67=$E67,$E$175,0)+IF(AND($C67=AA67,$D67=AB67),$E$176,0))</f>
        <v/>
      </c>
      <c r="AF67" s="53" t="n">
        <f aca="false">006_Nir3!$F53</f>
        <v>1</v>
      </c>
      <c r="AG67" s="53" t="n">
        <f aca="false">006_Nir3!$G53</f>
        <v>3</v>
      </c>
      <c r="AH67" s="54" t="str">
        <f aca="false">IF(OR(AG67="",AF67=""),"",IF(AF67&gt;AG67,"I",IF(AF67=AG67,"X","II")))</f>
        <v>II</v>
      </c>
      <c r="AI67" s="53" t="str">
        <f aca="false">IF($E67="","",IF(AH67=$E67,$E$175,0)+IF(AND($C67=AF67,$D67=AG67),$E$176,0))</f>
        <v/>
      </c>
    </row>
    <row r="68" customFormat="false" ht="14.25" hidden="false" customHeight="true" outlineLevel="0" collapsed="false">
      <c r="A68" s="6" t="n">
        <v>48</v>
      </c>
      <c r="B68" s="6" t="s">
        <v>59</v>
      </c>
      <c r="C68" s="52" t="str">
        <f aca="false">IF(Summary!L51="","",Summary!L51)</f>
        <v/>
      </c>
      <c r="D68" s="52" t="str">
        <f aca="false">IF(Summary!M51="","",Summary!M51)</f>
        <v/>
      </c>
      <c r="E68" s="14" t="str">
        <f aca="false">IF(OR(D68="",C68=""),"",IF(C68&gt;D68,"I",IF(C68=D68,"X","II")))</f>
        <v/>
      </c>
      <c r="F68" s="6"/>
      <c r="G68" s="53" t="n">
        <f aca="false">001_MikiZiso3!$F54</f>
        <v>1</v>
      </c>
      <c r="H68" s="53" t="n">
        <f aca="false">001_MikiZiso3!$G54</f>
        <v>0</v>
      </c>
      <c r="I68" s="54" t="str">
        <f aca="false">IF(OR(H68="",G68=""),"",IF(G68&gt;H68,"I",IF(G68=H68,"X","II")))</f>
        <v>I</v>
      </c>
      <c r="J68" s="53" t="str">
        <f aca="false">IF($E68="","",IF(I68=$E68,$E$175,0)+IF(AND($C68=G68,$D68=H68),$E$176,0))</f>
        <v/>
      </c>
      <c r="L68" s="53" t="n">
        <f aca="false">002_MikiZiso2!$F54</f>
        <v>1</v>
      </c>
      <c r="M68" s="53" t="n">
        <f aca="false">002_MikiZiso2!$G54</f>
        <v>0</v>
      </c>
      <c r="N68" s="54" t="str">
        <f aca="false">IF(OR(M68="",L68=""),"",IF(L68&gt;M68,"I",IF(L68=M68,"X","II")))</f>
        <v>I</v>
      </c>
      <c r="O68" s="53" t="str">
        <f aca="false">IF($E68="","",IF(N68=$E68,$E$175,0)+IF(AND($C68=L68,$D68=M68),$E$176,0))</f>
        <v/>
      </c>
      <c r="Q68" s="53" t="n">
        <f aca="false">003_Miki_Ziso!$F54</f>
        <v>1</v>
      </c>
      <c r="R68" s="53" t="n">
        <f aca="false">003_Miki_Ziso!$G54</f>
        <v>0</v>
      </c>
      <c r="S68" s="54" t="str">
        <f aca="false">IF(OR(R68="",Q68=""),"",IF(Q68&gt;R68,"I",IF(Q68=R68,"X","II")))</f>
        <v>I</v>
      </c>
      <c r="T68" s="53" t="str">
        <f aca="false">IF($E68="","",IF(S68=$E68,$E$175,0)+IF(AND($C68=Q68,$D68=R68),$E$176,0))</f>
        <v/>
      </c>
      <c r="V68" s="53" t="n">
        <f aca="false">004_Nir1!$F54</f>
        <v>1</v>
      </c>
      <c r="W68" s="53" t="n">
        <f aca="false">004_Nir1!$G54</f>
        <v>0</v>
      </c>
      <c r="X68" s="54" t="str">
        <f aca="false">IF(OR(W68="",V68=""),"",IF(V68&gt;W68,"I",IF(V68=W68,"X","II")))</f>
        <v>I</v>
      </c>
      <c r="Y68" s="53" t="str">
        <f aca="false">IF($E68="","",IF(X68=$E68,$E$175,0)+IF(AND($C68=V68,$D68=W68),$E$176,0))</f>
        <v/>
      </c>
      <c r="AA68" s="53" t="n">
        <f aca="false">005_Nir2!$F54</f>
        <v>0</v>
      </c>
      <c r="AB68" s="53" t="n">
        <f aca="false">005_Nir2!$G54</f>
        <v>1</v>
      </c>
      <c r="AC68" s="54" t="str">
        <f aca="false">IF(OR(AB68="",AA68=""),"",IF(AA68&gt;AB68,"I",IF(AA68=AB68,"X","II")))</f>
        <v>II</v>
      </c>
      <c r="AD68" s="53" t="str">
        <f aca="false">IF($E68="","",IF(AC68=$E68,$E$175,0)+IF(AND($C68=AA68,$D68=AB68),$E$176,0))</f>
        <v/>
      </c>
      <c r="AF68" s="53" t="n">
        <f aca="false">006_Nir3!$F54</f>
        <v>1</v>
      </c>
      <c r="AG68" s="53" t="n">
        <f aca="false">006_Nir3!$G54</f>
        <v>1</v>
      </c>
      <c r="AH68" s="54" t="str">
        <f aca="false">IF(OR(AG68="",AF68=""),"",IF(AF68&gt;AG68,"I",IF(AF68=AG68,"X","II")))</f>
        <v>X</v>
      </c>
      <c r="AI68" s="53" t="str">
        <f aca="false">IF($E68="","",IF(AH68=$E68,$E$175,0)+IF(AND($C68=AF68,$D68=AG68),$E$176,0))</f>
        <v/>
      </c>
    </row>
    <row r="69" customFormat="false" ht="14.25" hidden="false" customHeight="true" outlineLevel="0" collapsed="false">
      <c r="A69" s="6" t="n">
        <v>49</v>
      </c>
      <c r="B69" s="6" t="s">
        <v>60</v>
      </c>
      <c r="C69" s="52" t="str">
        <f aca="false">IF(Summary!L52="","",Summary!L52)</f>
        <v/>
      </c>
      <c r="D69" s="52" t="str">
        <f aca="false">IF(Summary!M52="","",Summary!M52)</f>
        <v/>
      </c>
      <c r="E69" s="14" t="str">
        <f aca="false">IF(OR(D69="",C69=""),"",IF(C69&gt;D69,"I",IF(C69=D69,"X","II")))</f>
        <v/>
      </c>
      <c r="F69" s="6"/>
      <c r="G69" s="53" t="n">
        <f aca="false">001_MikiZiso3!$F55</f>
        <v>0</v>
      </c>
      <c r="H69" s="53" t="n">
        <f aca="false">001_MikiZiso3!$G55</f>
        <v>2</v>
      </c>
      <c r="I69" s="54" t="str">
        <f aca="false">IF(OR(H69="",G69=""),"",IF(G69&gt;H69,"I",IF(G69=H69,"X","II")))</f>
        <v>II</v>
      </c>
      <c r="J69" s="53" t="str">
        <f aca="false">IF($E69="","",IF(I69=$E69,$E$175,0)+IF(AND($C69=G69,$D69=H69),$E$176,0))</f>
        <v/>
      </c>
      <c r="L69" s="53" t="n">
        <f aca="false">002_MikiZiso2!$F55</f>
        <v>0</v>
      </c>
      <c r="M69" s="53" t="n">
        <f aca="false">002_MikiZiso2!$G55</f>
        <v>2</v>
      </c>
      <c r="N69" s="54" t="str">
        <f aca="false">IF(OR(M69="",L69=""),"",IF(L69&gt;M69,"I",IF(L69=M69,"X","II")))</f>
        <v>II</v>
      </c>
      <c r="O69" s="53" t="str">
        <f aca="false">IF($E69="","",IF(N69=$E69,$E$175,0)+IF(AND($C69=L69,$D69=M69),$E$176,0))</f>
        <v/>
      </c>
      <c r="Q69" s="53" t="n">
        <f aca="false">003_Miki_Ziso!$F55</f>
        <v>0</v>
      </c>
      <c r="R69" s="53" t="n">
        <f aca="false">003_Miki_Ziso!$G55</f>
        <v>2</v>
      </c>
      <c r="S69" s="54" t="str">
        <f aca="false">IF(OR(R69="",Q69=""),"",IF(Q69&gt;R69,"I",IF(Q69=R69,"X","II")))</f>
        <v>II</v>
      </c>
      <c r="T69" s="53" t="str">
        <f aca="false">IF($E69="","",IF(S69=$E69,$E$175,0)+IF(AND($C69=Q69,$D69=R69),$E$176,0))</f>
        <v/>
      </c>
      <c r="V69" s="53" t="n">
        <f aca="false">004_Nir1!$F55</f>
        <v>1</v>
      </c>
      <c r="W69" s="53" t="n">
        <f aca="false">004_Nir1!$G55</f>
        <v>0</v>
      </c>
      <c r="X69" s="54" t="str">
        <f aca="false">IF(OR(W69="",V69=""),"",IF(V69&gt;W69,"I",IF(V69=W69,"X","II")))</f>
        <v>I</v>
      </c>
      <c r="Y69" s="53" t="str">
        <f aca="false">IF($E69="","",IF(X69=$E69,$E$175,0)+IF(AND($C69=V69,$D69=W69),$E$176,0))</f>
        <v/>
      </c>
      <c r="AA69" s="53" t="n">
        <f aca="false">005_Nir2!$F55</f>
        <v>0</v>
      </c>
      <c r="AB69" s="53" t="n">
        <f aca="false">005_Nir2!$G55</f>
        <v>2</v>
      </c>
      <c r="AC69" s="54" t="str">
        <f aca="false">IF(OR(AB69="",AA69=""),"",IF(AA69&gt;AB69,"I",IF(AA69=AB69,"X","II")))</f>
        <v>II</v>
      </c>
      <c r="AD69" s="53" t="str">
        <f aca="false">IF($E69="","",IF(AC69=$E69,$E$175,0)+IF(AND($C69=AA69,$D69=AB69),$E$176,0))</f>
        <v/>
      </c>
      <c r="AF69" s="53" t="n">
        <f aca="false">006_Nir3!$F55</f>
        <v>2</v>
      </c>
      <c r="AG69" s="53" t="n">
        <f aca="false">006_Nir3!$G55</f>
        <v>0</v>
      </c>
      <c r="AH69" s="54" t="str">
        <f aca="false">IF(OR(AG69="",AF69=""),"",IF(AF69&gt;AG69,"I",IF(AF69=AG69,"X","II")))</f>
        <v>I</v>
      </c>
      <c r="AI69" s="53" t="str">
        <f aca="false">IF($E69="","",IF(AH69=$E69,$E$175,0)+IF(AND($C69=AF69,$D69=AG69),$E$176,0))</f>
        <v/>
      </c>
    </row>
    <row r="70" customFormat="false" ht="14.25" hidden="false" customHeight="true" outlineLevel="0" collapsed="false">
      <c r="A70" s="6" t="n">
        <v>50</v>
      </c>
      <c r="B70" s="6" t="s">
        <v>61</v>
      </c>
      <c r="C70" s="52" t="str">
        <f aca="false">IF(Summary!L53="","",Summary!L53)</f>
        <v/>
      </c>
      <c r="D70" s="52" t="str">
        <f aca="false">IF(Summary!M53="","",Summary!M53)</f>
        <v/>
      </c>
      <c r="E70" s="14" t="str">
        <f aca="false">IF(OR(D70="",C70=""),"",IF(C70&gt;D70,"I",IF(C70=D70,"X","II")))</f>
        <v/>
      </c>
      <c r="F70" s="6"/>
      <c r="G70" s="53" t="n">
        <f aca="false">001_MikiZiso3!$F56</f>
        <v>3</v>
      </c>
      <c r="H70" s="53" t="n">
        <f aca="false">001_MikiZiso3!$G56</f>
        <v>0</v>
      </c>
      <c r="I70" s="54" t="str">
        <f aca="false">IF(OR(H70="",G70=""),"",IF(G70&gt;H70,"I",IF(G70=H70,"X","II")))</f>
        <v>I</v>
      </c>
      <c r="J70" s="53" t="str">
        <f aca="false">IF($E70="","",IF(I70=$E70,$E$175,0)+IF(AND($C70=G70,$D70=H70),$E$176,0))</f>
        <v/>
      </c>
      <c r="L70" s="53" t="n">
        <f aca="false">002_MikiZiso2!$F56</f>
        <v>3</v>
      </c>
      <c r="M70" s="53" t="n">
        <f aca="false">002_MikiZiso2!$G56</f>
        <v>0</v>
      </c>
      <c r="N70" s="54" t="str">
        <f aca="false">IF(OR(M70="",L70=""),"",IF(L70&gt;M70,"I",IF(L70=M70,"X","II")))</f>
        <v>I</v>
      </c>
      <c r="O70" s="53" t="str">
        <f aca="false">IF($E70="","",IF(N70=$E70,$E$175,0)+IF(AND($C70=L70,$D70=M70),$E$176,0))</f>
        <v/>
      </c>
      <c r="Q70" s="53" t="n">
        <f aca="false">003_Miki_Ziso!$F56</f>
        <v>3</v>
      </c>
      <c r="R70" s="53" t="n">
        <f aca="false">003_Miki_Ziso!$G56</f>
        <v>0</v>
      </c>
      <c r="S70" s="54" t="str">
        <f aca="false">IF(OR(R70="",Q70=""),"",IF(Q70&gt;R70,"I",IF(Q70=R70,"X","II")))</f>
        <v>I</v>
      </c>
      <c r="T70" s="53" t="str">
        <f aca="false">IF($E70="","",IF(S70=$E70,$E$175,0)+IF(AND($C70=Q70,$D70=R70),$E$176,0))</f>
        <v/>
      </c>
      <c r="V70" s="53" t="n">
        <f aca="false">004_Nir1!$F56</f>
        <v>1</v>
      </c>
      <c r="W70" s="53" t="n">
        <f aca="false">004_Nir1!$G56</f>
        <v>2</v>
      </c>
      <c r="X70" s="54" t="str">
        <f aca="false">IF(OR(W70="",V70=""),"",IF(V70&gt;W70,"I",IF(V70=W70,"X","II")))</f>
        <v>II</v>
      </c>
      <c r="Y70" s="53" t="str">
        <f aca="false">IF($E70="","",IF(X70=$E70,$E$175,0)+IF(AND($C70=V70,$D70=W70),$E$176,0))</f>
        <v/>
      </c>
      <c r="AA70" s="53" t="n">
        <f aca="false">005_Nir2!$F56</f>
        <v>1</v>
      </c>
      <c r="AB70" s="53" t="n">
        <f aca="false">005_Nir2!$G56</f>
        <v>1</v>
      </c>
      <c r="AC70" s="54" t="str">
        <f aca="false">IF(OR(AB70="",AA70=""),"",IF(AA70&gt;AB70,"I",IF(AA70=AB70,"X","II")))</f>
        <v>X</v>
      </c>
      <c r="AD70" s="53" t="str">
        <f aca="false">IF($E70="","",IF(AC70=$E70,$E$175,0)+IF(AND($C70=AA70,$D70=AB70),$E$176,0))</f>
        <v/>
      </c>
      <c r="AF70" s="53" t="n">
        <f aca="false">006_Nir3!$F56</f>
        <v>0</v>
      </c>
      <c r="AG70" s="53" t="n">
        <f aca="false">006_Nir3!$G56</f>
        <v>1</v>
      </c>
      <c r="AH70" s="54" t="str">
        <f aca="false">IF(OR(AG70="",AF70=""),"",IF(AF70&gt;AG70,"I",IF(AF70=AG70,"X","II")))</f>
        <v>II</v>
      </c>
      <c r="AI70" s="53" t="str">
        <f aca="false">IF($E70="","",IF(AH70=$E70,$E$175,0)+IF(AND($C70=AF70,$D70=AG70),$E$176,0))</f>
        <v/>
      </c>
    </row>
    <row r="71" customFormat="false" ht="14.25" hidden="false" customHeight="true" outlineLevel="0" collapsed="false">
      <c r="A71" s="6" t="n">
        <v>51</v>
      </c>
      <c r="B71" s="6" t="s">
        <v>62</v>
      </c>
      <c r="C71" s="52" t="str">
        <f aca="false">IF(Summary!L54="","",Summary!L54)</f>
        <v/>
      </c>
      <c r="D71" s="52" t="str">
        <f aca="false">IF(Summary!M54="","",Summary!M54)</f>
        <v/>
      </c>
      <c r="E71" s="14" t="str">
        <f aca="false">IF(OR(D71="",C71=""),"",IF(C71&gt;D71,"I",IF(C71=D71,"X","II")))</f>
        <v/>
      </c>
      <c r="F71" s="6"/>
      <c r="G71" s="53" t="n">
        <f aca="false">001_MikiZiso3!$F57</f>
        <v>1</v>
      </c>
      <c r="H71" s="53" t="n">
        <f aca="false">001_MikiZiso3!$G57</f>
        <v>0</v>
      </c>
      <c r="I71" s="54" t="str">
        <f aca="false">IF(OR(H71="",G71=""),"",IF(G71&gt;H71,"I",IF(G71=H71,"X","II")))</f>
        <v>I</v>
      </c>
      <c r="J71" s="53" t="str">
        <f aca="false">IF($E71="","",IF(I71=$E71,$E$175,0)+IF(AND($C71=G71,$D71=H71),$E$176,0))</f>
        <v/>
      </c>
      <c r="L71" s="53" t="n">
        <f aca="false">002_MikiZiso2!$F57</f>
        <v>1</v>
      </c>
      <c r="M71" s="53" t="n">
        <f aca="false">002_MikiZiso2!$G57</f>
        <v>0</v>
      </c>
      <c r="N71" s="54" t="str">
        <f aca="false">IF(OR(M71="",L71=""),"",IF(L71&gt;M71,"I",IF(L71=M71,"X","II")))</f>
        <v>I</v>
      </c>
      <c r="O71" s="53" t="str">
        <f aca="false">IF($E71="","",IF(N71=$E71,$E$175,0)+IF(AND($C71=L71,$D71=M71),$E$176,0))</f>
        <v/>
      </c>
      <c r="Q71" s="53" t="n">
        <f aca="false">003_Miki_Ziso!$F57</f>
        <v>0</v>
      </c>
      <c r="R71" s="53" t="n">
        <f aca="false">003_Miki_Ziso!$G57</f>
        <v>0</v>
      </c>
      <c r="S71" s="54" t="str">
        <f aca="false">IF(OR(R71="",Q71=""),"",IF(Q71&gt;R71,"I",IF(Q71=R71,"X","II")))</f>
        <v>X</v>
      </c>
      <c r="T71" s="53" t="str">
        <f aca="false">IF($E71="","",IF(S71=$E71,$E$175,0)+IF(AND($C71=Q71,$D71=R71),$E$176,0))</f>
        <v/>
      </c>
      <c r="V71" s="53" t="n">
        <f aca="false">004_Nir1!$F57</f>
        <v>0</v>
      </c>
      <c r="W71" s="53" t="n">
        <f aca="false">004_Nir1!$G57</f>
        <v>1</v>
      </c>
      <c r="X71" s="54" t="str">
        <f aca="false">IF(OR(W71="",V71=""),"",IF(V71&gt;W71,"I",IF(V71=W71,"X","II")))</f>
        <v>II</v>
      </c>
      <c r="Y71" s="53" t="str">
        <f aca="false">IF($E71="","",IF(X71=$E71,$E$175,0)+IF(AND($C71=V71,$D71=W71),$E$176,0))</f>
        <v/>
      </c>
      <c r="AA71" s="53" t="n">
        <f aca="false">005_Nir2!$F57</f>
        <v>3</v>
      </c>
      <c r="AB71" s="53" t="n">
        <f aca="false">005_Nir2!$G57</f>
        <v>2</v>
      </c>
      <c r="AC71" s="54" t="str">
        <f aca="false">IF(OR(AB71="",AA71=""),"",IF(AA71&gt;AB71,"I",IF(AA71=AB71,"X","II")))</f>
        <v>I</v>
      </c>
      <c r="AD71" s="53" t="str">
        <f aca="false">IF($E71="","",IF(AC71=$E71,$E$175,0)+IF(AND($C71=AA71,$D71=AB71),$E$176,0))</f>
        <v/>
      </c>
      <c r="AF71" s="53" t="n">
        <f aca="false">006_Nir3!$F57</f>
        <v>0</v>
      </c>
      <c r="AG71" s="53" t="n">
        <f aca="false">006_Nir3!$G57</f>
        <v>2</v>
      </c>
      <c r="AH71" s="54" t="str">
        <f aca="false">IF(OR(AG71="",AF71=""),"",IF(AF71&gt;AG71,"I",IF(AF71=AG71,"X","II")))</f>
        <v>II</v>
      </c>
      <c r="AI71" s="53" t="str">
        <f aca="false">IF($E71="","",IF(AH71=$E71,$E$175,0)+IF(AND($C71=AF71,$D71=AG71),$E$176,0))</f>
        <v/>
      </c>
    </row>
    <row r="72" customFormat="false" ht="14.25" hidden="false" customHeight="true" outlineLevel="0" collapsed="false">
      <c r="A72" s="6" t="n">
        <v>52</v>
      </c>
      <c r="B72" s="6" t="s">
        <v>63</v>
      </c>
      <c r="C72" s="52" t="str">
        <f aca="false">IF(Summary!L55="","",Summary!L55)</f>
        <v/>
      </c>
      <c r="D72" s="52" t="str">
        <f aca="false">IF(Summary!M55="","",Summary!M55)</f>
        <v/>
      </c>
      <c r="E72" s="14" t="str">
        <f aca="false">IF(OR(D72="",C72=""),"",IF(C72&gt;D72,"I",IF(C72=D72,"X","II")))</f>
        <v/>
      </c>
      <c r="F72" s="6"/>
      <c r="G72" s="53" t="n">
        <f aca="false">001_MikiZiso3!$F58</f>
        <v>1</v>
      </c>
      <c r="H72" s="53" t="n">
        <f aca="false">001_MikiZiso3!$G58</f>
        <v>2</v>
      </c>
      <c r="I72" s="54" t="str">
        <f aca="false">IF(OR(H72="",G72=""),"",IF(G72&gt;H72,"I",IF(G72=H72,"X","II")))</f>
        <v>II</v>
      </c>
      <c r="J72" s="53" t="str">
        <f aca="false">IF($E72="","",IF(I72=$E72,$E$175,0)+IF(AND($C72=G72,$D72=H72),$E$176,0))</f>
        <v/>
      </c>
      <c r="L72" s="53" t="n">
        <f aca="false">002_MikiZiso2!$F58</f>
        <v>1</v>
      </c>
      <c r="M72" s="53" t="n">
        <f aca="false">002_MikiZiso2!$G58</f>
        <v>2</v>
      </c>
      <c r="N72" s="54" t="str">
        <f aca="false">IF(OR(M72="",L72=""),"",IF(L72&gt;M72,"I",IF(L72=M72,"X","II")))</f>
        <v>II</v>
      </c>
      <c r="O72" s="53" t="str">
        <f aca="false">IF($E72="","",IF(N72=$E72,$E$175,0)+IF(AND($C72=L72,$D72=M72),$E$176,0))</f>
        <v/>
      </c>
      <c r="Q72" s="53" t="n">
        <f aca="false">003_Miki_Ziso!$F58</f>
        <v>1</v>
      </c>
      <c r="R72" s="53" t="n">
        <f aca="false">003_Miki_Ziso!$G58</f>
        <v>2</v>
      </c>
      <c r="S72" s="54" t="str">
        <f aca="false">IF(OR(R72="",Q72=""),"",IF(Q72&gt;R72,"I",IF(Q72=R72,"X","II")))</f>
        <v>II</v>
      </c>
      <c r="T72" s="53" t="str">
        <f aca="false">IF($E72="","",IF(S72=$E72,$E$175,0)+IF(AND($C72=Q72,$D72=R72),$E$176,0))</f>
        <v/>
      </c>
      <c r="V72" s="53" t="n">
        <f aca="false">004_Nir1!$F58</f>
        <v>0</v>
      </c>
      <c r="W72" s="53" t="n">
        <f aca="false">004_Nir1!$G58</f>
        <v>3</v>
      </c>
      <c r="X72" s="54" t="str">
        <f aca="false">IF(OR(W72="",V72=""),"",IF(V72&gt;W72,"I",IF(V72=W72,"X","II")))</f>
        <v>II</v>
      </c>
      <c r="Y72" s="53" t="str">
        <f aca="false">IF($E72="","",IF(X72=$E72,$E$175,0)+IF(AND($C72=V72,$D72=W72),$E$176,0))</f>
        <v/>
      </c>
      <c r="AA72" s="53" t="n">
        <f aca="false">005_Nir2!$F58</f>
        <v>1</v>
      </c>
      <c r="AB72" s="53" t="n">
        <f aca="false">005_Nir2!$G58</f>
        <v>0</v>
      </c>
      <c r="AC72" s="54" t="str">
        <f aca="false">IF(OR(AB72="",AA72=""),"",IF(AA72&gt;AB72,"I",IF(AA72=AB72,"X","II")))</f>
        <v>I</v>
      </c>
      <c r="AD72" s="53" t="str">
        <f aca="false">IF($E72="","",IF(AC72=$E72,$E$175,0)+IF(AND($C72=AA72,$D72=AB72),$E$176,0))</f>
        <v/>
      </c>
      <c r="AF72" s="53" t="n">
        <f aca="false">006_Nir3!$F58</f>
        <v>0</v>
      </c>
      <c r="AG72" s="53" t="n">
        <f aca="false">006_Nir3!$G58</f>
        <v>2</v>
      </c>
      <c r="AH72" s="54" t="str">
        <f aca="false">IF(OR(AG72="",AF72=""),"",IF(AF72&gt;AG72,"I",IF(AF72=AG72,"X","II")))</f>
        <v>II</v>
      </c>
      <c r="AI72" s="53" t="str">
        <f aca="false">IF($E72="","",IF(AH72=$E72,$E$175,0)+IF(AND($C72=AF72,$D72=AG72),$E$176,0))</f>
        <v/>
      </c>
    </row>
    <row r="73" customFormat="false" ht="14.25" hidden="false" customHeight="true" outlineLevel="0" collapsed="false">
      <c r="A73" s="6" t="n">
        <v>53</v>
      </c>
      <c r="B73" s="6" t="s">
        <v>64</v>
      </c>
      <c r="C73" s="52" t="str">
        <f aca="false">IF(Summary!L56="","",Summary!L56)</f>
        <v/>
      </c>
      <c r="D73" s="52" t="str">
        <f aca="false">IF(Summary!M56="","",Summary!M56)</f>
        <v/>
      </c>
      <c r="E73" s="14" t="str">
        <f aca="false">IF(OR(D73="",C73=""),"",IF(C73&gt;D73,"I",IF(C73=D73,"X","II")))</f>
        <v/>
      </c>
      <c r="F73" s="6"/>
      <c r="G73" s="53" t="n">
        <f aca="false">001_MikiZiso3!$F59</f>
        <v>1</v>
      </c>
      <c r="H73" s="53" t="n">
        <f aca="false">001_MikiZiso3!$G59</f>
        <v>2</v>
      </c>
      <c r="I73" s="54" t="str">
        <f aca="false">IF(OR(H73="",G73=""),"",IF(G73&gt;H73,"I",IF(G73=H73,"X","II")))</f>
        <v>II</v>
      </c>
      <c r="J73" s="53" t="str">
        <f aca="false">IF($E73="","",IF(I73=$E73,$E$175,0)+IF(AND($C73=G73,$D73=H73),$E$176,0))</f>
        <v/>
      </c>
      <c r="L73" s="53" t="n">
        <f aca="false">002_MikiZiso2!$F59</f>
        <v>1</v>
      </c>
      <c r="M73" s="53" t="n">
        <f aca="false">002_MikiZiso2!$G59</f>
        <v>2</v>
      </c>
      <c r="N73" s="54" t="str">
        <f aca="false">IF(OR(M73="",L73=""),"",IF(L73&gt;M73,"I",IF(L73=M73,"X","II")))</f>
        <v>II</v>
      </c>
      <c r="O73" s="53" t="str">
        <f aca="false">IF($E73="","",IF(N73=$E73,$E$175,0)+IF(AND($C73=L73,$D73=M73),$E$176,0))</f>
        <v/>
      </c>
      <c r="Q73" s="53" t="n">
        <f aca="false">003_Miki_Ziso!$F59</f>
        <v>1</v>
      </c>
      <c r="R73" s="53" t="n">
        <f aca="false">003_Miki_Ziso!$G59</f>
        <v>2</v>
      </c>
      <c r="S73" s="54" t="str">
        <f aca="false">IF(OR(R73="",Q73=""),"",IF(Q73&gt;R73,"I",IF(Q73=R73,"X","II")))</f>
        <v>II</v>
      </c>
      <c r="T73" s="53" t="str">
        <f aca="false">IF($E73="","",IF(S73=$E73,$E$175,0)+IF(AND($C73=Q73,$D73=R73),$E$176,0))</f>
        <v/>
      </c>
      <c r="V73" s="53" t="n">
        <f aca="false">004_Nir1!$F59</f>
        <v>0</v>
      </c>
      <c r="W73" s="53" t="n">
        <f aca="false">004_Nir1!$G59</f>
        <v>1</v>
      </c>
      <c r="X73" s="54" t="str">
        <f aca="false">IF(OR(W73="",V73=""),"",IF(V73&gt;W73,"I",IF(V73=W73,"X","II")))</f>
        <v>II</v>
      </c>
      <c r="Y73" s="53" t="str">
        <f aca="false">IF($E73="","",IF(X73=$E73,$E$175,0)+IF(AND($C73=V73,$D73=W73),$E$176,0))</f>
        <v/>
      </c>
      <c r="AA73" s="53" t="n">
        <f aca="false">005_Nir2!$F59</f>
        <v>3</v>
      </c>
      <c r="AB73" s="53" t="n">
        <f aca="false">005_Nir2!$G59</f>
        <v>4</v>
      </c>
      <c r="AC73" s="54" t="str">
        <f aca="false">IF(OR(AB73="",AA73=""),"",IF(AA73&gt;AB73,"I",IF(AA73=AB73,"X","II")))</f>
        <v>II</v>
      </c>
      <c r="AD73" s="53" t="str">
        <f aca="false">IF($E73="","",IF(AC73=$E73,$E$175,0)+IF(AND($C73=AA73,$D73=AB73),$E$176,0))</f>
        <v/>
      </c>
      <c r="AF73" s="53" t="n">
        <f aca="false">006_Nir3!$F59</f>
        <v>2</v>
      </c>
      <c r="AG73" s="53" t="n">
        <f aca="false">006_Nir3!$G59</f>
        <v>0</v>
      </c>
      <c r="AH73" s="54" t="str">
        <f aca="false">IF(OR(AG73="",AF73=""),"",IF(AF73&gt;AG73,"I",IF(AF73=AG73,"X","II")))</f>
        <v>I</v>
      </c>
      <c r="AI73" s="53" t="str">
        <f aca="false">IF($E73="","",IF(AH73=$E73,$E$175,0)+IF(AND($C73=AF73,$D73=AG73),$E$176,0))</f>
        <v/>
      </c>
    </row>
    <row r="74" customFormat="false" ht="14.25" hidden="false" customHeight="true" outlineLevel="0" collapsed="false">
      <c r="A74" s="6" t="n">
        <v>54</v>
      </c>
      <c r="B74" s="6" t="s">
        <v>65</v>
      </c>
      <c r="C74" s="52" t="str">
        <f aca="false">IF(Summary!L57="","",Summary!L57)</f>
        <v/>
      </c>
      <c r="D74" s="52" t="str">
        <f aca="false">IF(Summary!M57="","",Summary!M57)</f>
        <v/>
      </c>
      <c r="E74" s="14" t="str">
        <f aca="false">IF(OR(D74="",C74=""),"",IF(C74&gt;D74,"I",IF(C74=D74,"X","II")))</f>
        <v/>
      </c>
      <c r="F74" s="6"/>
      <c r="G74" s="53" t="n">
        <f aca="false">001_MikiZiso3!$F60</f>
        <v>1</v>
      </c>
      <c r="H74" s="53" t="n">
        <f aca="false">001_MikiZiso3!$G60</f>
        <v>1</v>
      </c>
      <c r="I74" s="54" t="str">
        <f aca="false">IF(OR(H74="",G74=""),"",IF(G74&gt;H74,"I",IF(G74=H74,"X","II")))</f>
        <v>X</v>
      </c>
      <c r="J74" s="53" t="str">
        <f aca="false">IF($E74="","",IF(I74=$E74,$E$175,0)+IF(AND($C74=G74,$D74=H74),$E$176,0))</f>
        <v/>
      </c>
      <c r="L74" s="53" t="n">
        <f aca="false">002_MikiZiso2!$F60</f>
        <v>1</v>
      </c>
      <c r="M74" s="53" t="n">
        <f aca="false">002_MikiZiso2!$G60</f>
        <v>1</v>
      </c>
      <c r="N74" s="54" t="str">
        <f aca="false">IF(OR(M74="",L74=""),"",IF(L74&gt;M74,"I",IF(L74=M74,"X","II")))</f>
        <v>X</v>
      </c>
      <c r="O74" s="53" t="str">
        <f aca="false">IF($E74="","",IF(N74=$E74,$E$175,0)+IF(AND($C74=L74,$D74=M74),$E$176,0))</f>
        <v/>
      </c>
      <c r="Q74" s="53" t="n">
        <f aca="false">003_Miki_Ziso!$F60</f>
        <v>1</v>
      </c>
      <c r="R74" s="53" t="n">
        <f aca="false">003_Miki_Ziso!$G60</f>
        <v>1</v>
      </c>
      <c r="S74" s="54" t="str">
        <f aca="false">IF(OR(R74="",Q74=""),"",IF(Q74&gt;R74,"I",IF(Q74=R74,"X","II")))</f>
        <v>X</v>
      </c>
      <c r="T74" s="53" t="str">
        <f aca="false">IF($E74="","",IF(S74=$E74,$E$175,0)+IF(AND($C74=Q74,$D74=R74),$E$176,0))</f>
        <v/>
      </c>
      <c r="V74" s="53" t="n">
        <f aca="false">004_Nir1!$F60</f>
        <v>2</v>
      </c>
      <c r="W74" s="53" t="n">
        <f aca="false">004_Nir1!$G60</f>
        <v>2</v>
      </c>
      <c r="X74" s="54" t="str">
        <f aca="false">IF(OR(W74="",V74=""),"",IF(V74&gt;W74,"I",IF(V74=W74,"X","II")))</f>
        <v>X</v>
      </c>
      <c r="Y74" s="53" t="str">
        <f aca="false">IF($E74="","",IF(X74=$E74,$E$175,0)+IF(AND($C74=V74,$D74=W74),$E$176,0))</f>
        <v/>
      </c>
      <c r="AA74" s="53" t="n">
        <f aca="false">005_Nir2!$F60</f>
        <v>1</v>
      </c>
      <c r="AB74" s="53" t="n">
        <f aca="false">005_Nir2!$G60</f>
        <v>5</v>
      </c>
      <c r="AC74" s="54" t="str">
        <f aca="false">IF(OR(AB74="",AA74=""),"",IF(AA74&gt;AB74,"I",IF(AA74=AB74,"X","II")))</f>
        <v>II</v>
      </c>
      <c r="AD74" s="53" t="str">
        <f aca="false">IF($E74="","",IF(AC74=$E74,$E$175,0)+IF(AND($C74=AA74,$D74=AB74),$E$176,0))</f>
        <v/>
      </c>
      <c r="AF74" s="53" t="n">
        <f aca="false">006_Nir3!$F60</f>
        <v>1</v>
      </c>
      <c r="AG74" s="53" t="n">
        <f aca="false">006_Nir3!$G60</f>
        <v>1</v>
      </c>
      <c r="AH74" s="54" t="str">
        <f aca="false">IF(OR(AG74="",AF74=""),"",IF(AF74&gt;AG74,"I",IF(AF74=AG74,"X","II")))</f>
        <v>X</v>
      </c>
      <c r="AI74" s="53" t="str">
        <f aca="false">IF($E74="","",IF(AH74=$E74,$E$175,0)+IF(AND($C74=AF74,$D74=AG74),$E$176,0))</f>
        <v/>
      </c>
    </row>
    <row r="75" customFormat="false" ht="14.25" hidden="false" customHeight="true" outlineLevel="0" collapsed="false">
      <c r="A75" s="6" t="n">
        <v>55</v>
      </c>
      <c r="B75" s="6" t="s">
        <v>66</v>
      </c>
      <c r="C75" s="52" t="str">
        <f aca="false">IF(Summary!L58="","",Summary!L58)</f>
        <v/>
      </c>
      <c r="D75" s="52" t="str">
        <f aca="false">IF(Summary!M58="","",Summary!M58)</f>
        <v/>
      </c>
      <c r="E75" s="14" t="str">
        <f aca="false">IF(OR(D75="",C75=""),"",IF(C75&gt;D75,"I",IF(C75=D75,"X","II")))</f>
        <v/>
      </c>
      <c r="F75" s="6"/>
      <c r="G75" s="53" t="n">
        <f aca="false">001_MikiZiso3!$F61</f>
        <v>1</v>
      </c>
      <c r="H75" s="53" t="n">
        <f aca="false">001_MikiZiso3!$G61</f>
        <v>2</v>
      </c>
      <c r="I75" s="54" t="str">
        <f aca="false">IF(OR(H75="",G75=""),"",IF(G75&gt;H75,"I",IF(G75=H75,"X","II")))</f>
        <v>II</v>
      </c>
      <c r="J75" s="53" t="str">
        <f aca="false">IF($E75="","",IF(I75=$E75,$E$175,0)+IF(AND($C75=G75,$D75=H75),$E$176,0))</f>
        <v/>
      </c>
      <c r="L75" s="53" t="n">
        <f aca="false">002_MikiZiso2!$F61</f>
        <v>1</v>
      </c>
      <c r="M75" s="53" t="n">
        <f aca="false">002_MikiZiso2!$G61</f>
        <v>2</v>
      </c>
      <c r="N75" s="54" t="str">
        <f aca="false">IF(OR(M75="",L75=""),"",IF(L75&gt;M75,"I",IF(L75=M75,"X","II")))</f>
        <v>II</v>
      </c>
      <c r="O75" s="53" t="str">
        <f aca="false">IF($E75="","",IF(N75=$E75,$E$175,0)+IF(AND($C75=L75,$D75=M75),$E$176,0))</f>
        <v/>
      </c>
      <c r="Q75" s="53" t="n">
        <f aca="false">003_Miki_Ziso!$F61</f>
        <v>1</v>
      </c>
      <c r="R75" s="53" t="n">
        <f aca="false">003_Miki_Ziso!$G61</f>
        <v>2</v>
      </c>
      <c r="S75" s="54" t="str">
        <f aca="false">IF(OR(R75="",Q75=""),"",IF(Q75&gt;R75,"I",IF(Q75=R75,"X","II")))</f>
        <v>II</v>
      </c>
      <c r="T75" s="53" t="str">
        <f aca="false">IF($E75="","",IF(S75=$E75,$E$175,0)+IF(AND($C75=Q75,$D75=R75),$E$176,0))</f>
        <v/>
      </c>
      <c r="V75" s="53" t="n">
        <f aca="false">004_Nir1!$F61</f>
        <v>3</v>
      </c>
      <c r="W75" s="53" t="n">
        <f aca="false">004_Nir1!$G61</f>
        <v>3</v>
      </c>
      <c r="X75" s="54" t="str">
        <f aca="false">IF(OR(W75="",V75=""),"",IF(V75&gt;W75,"I",IF(V75=W75,"X","II")))</f>
        <v>X</v>
      </c>
      <c r="Y75" s="53" t="str">
        <f aca="false">IF($E75="","",IF(X75=$E75,$E$175,0)+IF(AND($C75=V75,$D75=W75),$E$176,0))</f>
        <v/>
      </c>
      <c r="AA75" s="53" t="n">
        <f aca="false">005_Nir2!$F61</f>
        <v>0</v>
      </c>
      <c r="AB75" s="53" t="n">
        <f aca="false">005_Nir2!$G61</f>
        <v>4</v>
      </c>
      <c r="AC75" s="54" t="str">
        <f aca="false">IF(OR(AB75="",AA75=""),"",IF(AA75&gt;AB75,"I",IF(AA75=AB75,"X","II")))</f>
        <v>II</v>
      </c>
      <c r="AD75" s="53" t="str">
        <f aca="false">IF($E75="","",IF(AC75=$E75,$E$175,0)+IF(AND($C75=AA75,$D75=AB75),$E$176,0))</f>
        <v/>
      </c>
      <c r="AF75" s="53" t="n">
        <f aca="false">006_Nir3!$F61</f>
        <v>3</v>
      </c>
      <c r="AG75" s="53" t="n">
        <f aca="false">006_Nir3!$G61</f>
        <v>1</v>
      </c>
      <c r="AH75" s="54" t="str">
        <f aca="false">IF(OR(AG75="",AF75=""),"",IF(AF75&gt;AG75,"I",IF(AF75=AG75,"X","II")))</f>
        <v>I</v>
      </c>
      <c r="AI75" s="53" t="str">
        <f aca="false">IF($E75="","",IF(AH75=$E75,$E$175,0)+IF(AND($C75=AF75,$D75=AG75),$E$176,0))</f>
        <v/>
      </c>
    </row>
    <row r="76" customFormat="false" ht="14.25" hidden="false" customHeight="true" outlineLevel="0" collapsed="false">
      <c r="A76" s="6" t="n">
        <v>56</v>
      </c>
      <c r="B76" s="6" t="s">
        <v>67</v>
      </c>
      <c r="C76" s="52" t="str">
        <f aca="false">IF(Summary!L59="","",Summary!L59)</f>
        <v/>
      </c>
      <c r="D76" s="52" t="str">
        <f aca="false">IF(Summary!M59="","",Summary!M59)</f>
        <v/>
      </c>
      <c r="E76" s="14" t="str">
        <f aca="false">IF(OR(D76="",C76=""),"",IF(C76&gt;D76,"I",IF(C76=D76,"X","II")))</f>
        <v/>
      </c>
      <c r="F76" s="6"/>
      <c r="G76" s="53" t="n">
        <f aca="false">001_MikiZiso3!$F62</f>
        <v>2</v>
      </c>
      <c r="H76" s="53" t="n">
        <f aca="false">001_MikiZiso3!$G62</f>
        <v>2</v>
      </c>
      <c r="I76" s="54" t="str">
        <f aca="false">IF(OR(H76="",G76=""),"",IF(G76&gt;H76,"I",IF(G76=H76,"X","II")))</f>
        <v>X</v>
      </c>
      <c r="J76" s="53" t="str">
        <f aca="false">IF($E76="","",IF(I76=$E76,$E$175,0)+IF(AND($C76=G76,$D76=H76),$E$176,0))</f>
        <v/>
      </c>
      <c r="L76" s="53" t="n">
        <f aca="false">002_MikiZiso2!$F62</f>
        <v>2</v>
      </c>
      <c r="M76" s="53" t="n">
        <f aca="false">002_MikiZiso2!$G62</f>
        <v>2</v>
      </c>
      <c r="N76" s="54" t="str">
        <f aca="false">IF(OR(M76="",L76=""),"",IF(L76&gt;M76,"I",IF(L76=M76,"X","II")))</f>
        <v>X</v>
      </c>
      <c r="O76" s="53" t="str">
        <f aca="false">IF($E76="","",IF(N76=$E76,$E$175,0)+IF(AND($C76=L76,$D76=M76),$E$176,0))</f>
        <v/>
      </c>
      <c r="Q76" s="53" t="n">
        <f aca="false">003_Miki_Ziso!$F62</f>
        <v>2</v>
      </c>
      <c r="R76" s="53" t="n">
        <f aca="false">003_Miki_Ziso!$G62</f>
        <v>2</v>
      </c>
      <c r="S76" s="54" t="str">
        <f aca="false">IF(OR(R76="",Q76=""),"",IF(Q76&gt;R76,"I",IF(Q76=R76,"X","II")))</f>
        <v>X</v>
      </c>
      <c r="T76" s="53" t="str">
        <f aca="false">IF($E76="","",IF(S76=$E76,$E$175,0)+IF(AND($C76=Q76,$D76=R76),$E$176,0))</f>
        <v/>
      </c>
      <c r="V76" s="53" t="n">
        <f aca="false">004_Nir1!$F62</f>
        <v>1</v>
      </c>
      <c r="W76" s="53" t="n">
        <f aca="false">004_Nir1!$G62</f>
        <v>0</v>
      </c>
      <c r="X76" s="54" t="str">
        <f aca="false">IF(OR(W76="",V76=""),"",IF(V76&gt;W76,"I",IF(V76=W76,"X","II")))</f>
        <v>I</v>
      </c>
      <c r="Y76" s="53" t="str">
        <f aca="false">IF($E76="","",IF(X76=$E76,$E$175,0)+IF(AND($C76=V76,$D76=W76),$E$176,0))</f>
        <v/>
      </c>
      <c r="AA76" s="53" t="n">
        <f aca="false">005_Nir2!$F62</f>
        <v>0</v>
      </c>
      <c r="AB76" s="53" t="n">
        <f aca="false">005_Nir2!$G62</f>
        <v>3</v>
      </c>
      <c r="AC76" s="54" t="str">
        <f aca="false">IF(OR(AB76="",AA76=""),"",IF(AA76&gt;AB76,"I",IF(AA76=AB76,"X","II")))</f>
        <v>II</v>
      </c>
      <c r="AD76" s="53" t="str">
        <f aca="false">IF($E76="","",IF(AC76=$E76,$E$175,0)+IF(AND($C76=AA76,$D76=AB76),$E$176,0))</f>
        <v/>
      </c>
      <c r="AF76" s="53" t="n">
        <f aca="false">006_Nir3!$F62</f>
        <v>2</v>
      </c>
      <c r="AG76" s="53" t="n">
        <f aca="false">006_Nir3!$G62</f>
        <v>0</v>
      </c>
      <c r="AH76" s="54" t="str">
        <f aca="false">IF(OR(AG76="",AF76=""),"",IF(AF76&gt;AG76,"I",IF(AF76=AG76,"X","II")))</f>
        <v>I</v>
      </c>
      <c r="AI76" s="53" t="str">
        <f aca="false">IF($E76="","",IF(AH76=$E76,$E$175,0)+IF(AND($C76=AF76,$D76=AG76),$E$176,0))</f>
        <v/>
      </c>
    </row>
    <row r="77" customFormat="false" ht="14.25" hidden="false" customHeight="true" outlineLevel="0" collapsed="false">
      <c r="A77" s="6" t="n">
        <v>57</v>
      </c>
      <c r="B77" s="6" t="s">
        <v>68</v>
      </c>
      <c r="C77" s="52" t="str">
        <f aca="false">IF(Summary!L60="","",Summary!L60)</f>
        <v/>
      </c>
      <c r="D77" s="52" t="str">
        <f aca="false">IF(Summary!M60="","",Summary!M60)</f>
        <v/>
      </c>
      <c r="E77" s="14" t="str">
        <f aca="false">IF(OR(D77="",C77=""),"",IF(C77&gt;D77,"I",IF(C77=D77,"X","II")))</f>
        <v/>
      </c>
      <c r="F77" s="6"/>
      <c r="G77" s="53" t="n">
        <f aca="false">001_MikiZiso3!$F63</f>
        <v>1</v>
      </c>
      <c r="H77" s="53" t="n">
        <f aca="false">001_MikiZiso3!$G63</f>
        <v>0</v>
      </c>
      <c r="I77" s="54" t="str">
        <f aca="false">IF(OR(H77="",G77=""),"",IF(G77&gt;H77,"I",IF(G77=H77,"X","II")))</f>
        <v>I</v>
      </c>
      <c r="J77" s="53" t="str">
        <f aca="false">IF($E77="","",IF(I77=$E77,$E$175,0)+IF(AND($C77=G77,$D77=H77),$E$176,0))</f>
        <v/>
      </c>
      <c r="L77" s="53" t="n">
        <f aca="false">002_MikiZiso2!$F63</f>
        <v>1</v>
      </c>
      <c r="M77" s="53" t="n">
        <f aca="false">002_MikiZiso2!$G63</f>
        <v>0</v>
      </c>
      <c r="N77" s="54" t="str">
        <f aca="false">IF(OR(M77="",L77=""),"",IF(L77&gt;M77,"I",IF(L77=M77,"X","II")))</f>
        <v>I</v>
      </c>
      <c r="O77" s="53" t="str">
        <f aca="false">IF($E77="","",IF(N77=$E77,$E$175,0)+IF(AND($C77=L77,$D77=M77),$E$176,0))</f>
        <v/>
      </c>
      <c r="Q77" s="53" t="n">
        <f aca="false">003_Miki_Ziso!$F63</f>
        <v>1</v>
      </c>
      <c r="R77" s="53" t="n">
        <f aca="false">003_Miki_Ziso!$G63</f>
        <v>0</v>
      </c>
      <c r="S77" s="54" t="str">
        <f aca="false">IF(OR(R77="",Q77=""),"",IF(Q77&gt;R77,"I",IF(Q77=R77,"X","II")))</f>
        <v>I</v>
      </c>
      <c r="T77" s="53" t="str">
        <f aca="false">IF($E77="","",IF(S77=$E77,$E$175,0)+IF(AND($C77=Q77,$D77=R77),$E$176,0))</f>
        <v/>
      </c>
      <c r="V77" s="53" t="n">
        <f aca="false">004_Nir1!$F63</f>
        <v>3</v>
      </c>
      <c r="W77" s="53" t="n">
        <f aca="false">004_Nir1!$G63</f>
        <v>0</v>
      </c>
      <c r="X77" s="54" t="str">
        <f aca="false">IF(OR(W77="",V77=""),"",IF(V77&gt;W77,"I",IF(V77=W77,"X","II")))</f>
        <v>I</v>
      </c>
      <c r="Y77" s="53" t="str">
        <f aca="false">IF($E77="","",IF(X77=$E77,$E$175,0)+IF(AND($C77=V77,$D77=W77),$E$176,0))</f>
        <v/>
      </c>
      <c r="AA77" s="53" t="n">
        <f aca="false">005_Nir2!$F63</f>
        <v>4</v>
      </c>
      <c r="AB77" s="53" t="n">
        <f aca="false">005_Nir2!$G63</f>
        <v>2</v>
      </c>
      <c r="AC77" s="54" t="str">
        <f aca="false">IF(OR(AB77="",AA77=""),"",IF(AA77&gt;AB77,"I",IF(AA77=AB77,"X","II")))</f>
        <v>I</v>
      </c>
      <c r="AD77" s="53" t="str">
        <f aca="false">IF($E77="","",IF(AC77=$E77,$E$175,0)+IF(AND($C77=AA77,$D77=AB77),$E$176,0))</f>
        <v/>
      </c>
      <c r="AF77" s="53" t="n">
        <f aca="false">006_Nir3!$F63</f>
        <v>1</v>
      </c>
      <c r="AG77" s="53" t="n">
        <f aca="false">006_Nir3!$G63</f>
        <v>1</v>
      </c>
      <c r="AH77" s="54" t="str">
        <f aca="false">IF(OR(AG77="",AF77=""),"",IF(AF77&gt;AG77,"I",IF(AF77=AG77,"X","II")))</f>
        <v>X</v>
      </c>
      <c r="AI77" s="53" t="str">
        <f aca="false">IF($E77="","",IF(AH77=$E77,$E$175,0)+IF(AND($C77=AF77,$D77=AG77),$E$176,0))</f>
        <v/>
      </c>
    </row>
    <row r="78" customFormat="false" ht="14.25" hidden="false" customHeight="true" outlineLevel="0" collapsed="false">
      <c r="A78" s="6" t="n">
        <v>58</v>
      </c>
      <c r="B78" s="6" t="s">
        <v>69</v>
      </c>
      <c r="C78" s="52" t="str">
        <f aca="false">IF(Summary!L61="","",Summary!L61)</f>
        <v/>
      </c>
      <c r="D78" s="52" t="str">
        <f aca="false">IF(Summary!M61="","",Summary!M61)</f>
        <v/>
      </c>
      <c r="E78" s="14" t="str">
        <f aca="false">IF(OR(D78="",C78=""),"",IF(C78&gt;D78,"I",IF(C78=D78,"X","II")))</f>
        <v/>
      </c>
      <c r="F78" s="6"/>
      <c r="G78" s="53" t="n">
        <f aca="false">001_MikiZiso3!$F64</f>
        <v>0</v>
      </c>
      <c r="H78" s="53" t="n">
        <f aca="false">001_MikiZiso3!$G64</f>
        <v>1</v>
      </c>
      <c r="I78" s="54" t="str">
        <f aca="false">IF(OR(H78="",G78=""),"",IF(G78&gt;H78,"I",IF(G78=H78,"X","II")))</f>
        <v>II</v>
      </c>
      <c r="J78" s="53" t="str">
        <f aca="false">IF($E78="","",IF(I78=$E78,$E$175,0)+IF(AND($C78=G78,$D78=H78),$E$176,0))</f>
        <v/>
      </c>
      <c r="L78" s="53" t="n">
        <f aca="false">002_MikiZiso2!$F64</f>
        <v>0</v>
      </c>
      <c r="M78" s="53" t="n">
        <f aca="false">002_MikiZiso2!$G64</f>
        <v>1</v>
      </c>
      <c r="N78" s="54" t="str">
        <f aca="false">IF(OR(M78="",L78=""),"",IF(L78&gt;M78,"I",IF(L78=M78,"X","II")))</f>
        <v>II</v>
      </c>
      <c r="O78" s="53" t="str">
        <f aca="false">IF($E78="","",IF(N78=$E78,$E$175,0)+IF(AND($C78=L78,$D78=M78),$E$176,0))</f>
        <v/>
      </c>
      <c r="Q78" s="53" t="n">
        <f aca="false">003_Miki_Ziso!$F64</f>
        <v>0</v>
      </c>
      <c r="R78" s="53" t="n">
        <f aca="false">003_Miki_Ziso!$G64</f>
        <v>1</v>
      </c>
      <c r="S78" s="54" t="str">
        <f aca="false">IF(OR(R78="",Q78=""),"",IF(Q78&gt;R78,"I",IF(Q78=R78,"X","II")))</f>
        <v>II</v>
      </c>
      <c r="T78" s="53" t="str">
        <f aca="false">IF($E78="","",IF(S78=$E78,$E$175,0)+IF(AND($C78=Q78,$D78=R78),$E$176,0))</f>
        <v/>
      </c>
      <c r="V78" s="53" t="n">
        <f aca="false">004_Nir1!$F64</f>
        <v>4</v>
      </c>
      <c r="W78" s="53" t="n">
        <f aca="false">004_Nir1!$G64</f>
        <v>0</v>
      </c>
      <c r="X78" s="54" t="str">
        <f aca="false">IF(OR(W78="",V78=""),"",IF(V78&gt;W78,"I",IF(V78=W78,"X","II")))</f>
        <v>I</v>
      </c>
      <c r="Y78" s="53" t="str">
        <f aca="false">IF($E78="","",IF(X78=$E78,$E$175,0)+IF(AND($C78=V78,$D78=W78),$E$176,0))</f>
        <v/>
      </c>
      <c r="AA78" s="53" t="n">
        <f aca="false">005_Nir2!$F64</f>
        <v>0</v>
      </c>
      <c r="AB78" s="53" t="n">
        <f aca="false">005_Nir2!$G64</f>
        <v>1</v>
      </c>
      <c r="AC78" s="54" t="str">
        <f aca="false">IF(OR(AB78="",AA78=""),"",IF(AA78&gt;AB78,"I",IF(AA78=AB78,"X","II")))</f>
        <v>II</v>
      </c>
      <c r="AD78" s="53" t="str">
        <f aca="false">IF($E78="","",IF(AC78=$E78,$E$175,0)+IF(AND($C78=AA78,$D78=AB78),$E$176,0))</f>
        <v/>
      </c>
      <c r="AF78" s="53" t="n">
        <f aca="false">006_Nir3!$F64</f>
        <v>0</v>
      </c>
      <c r="AG78" s="53" t="n">
        <f aca="false">006_Nir3!$G64</f>
        <v>2</v>
      </c>
      <c r="AH78" s="54" t="str">
        <f aca="false">IF(OR(AG78="",AF78=""),"",IF(AF78&gt;AG78,"I",IF(AF78=AG78,"X","II")))</f>
        <v>II</v>
      </c>
      <c r="AI78" s="53" t="str">
        <f aca="false">IF($E78="","",IF(AH78=$E78,$E$175,0)+IF(AND($C78=AF78,$D78=AG78),$E$176,0))</f>
        <v/>
      </c>
    </row>
    <row r="79" customFormat="false" ht="14.25" hidden="false" customHeight="true" outlineLevel="0" collapsed="false">
      <c r="A79" s="6" t="n">
        <v>59</v>
      </c>
      <c r="B79" s="6" t="s">
        <v>70</v>
      </c>
      <c r="C79" s="52" t="str">
        <f aca="false">IF(Summary!L62="","",Summary!L62)</f>
        <v/>
      </c>
      <c r="D79" s="52" t="str">
        <f aca="false">IF(Summary!M62="","",Summary!M62)</f>
        <v/>
      </c>
      <c r="E79" s="14" t="str">
        <f aca="false">IF(OR(D79="",C79=""),"",IF(C79&gt;D79,"I",IF(C79=D79,"X","II")))</f>
        <v/>
      </c>
      <c r="F79" s="6"/>
      <c r="G79" s="53" t="n">
        <f aca="false">001_MikiZiso3!$F65</f>
        <v>1</v>
      </c>
      <c r="H79" s="53" t="n">
        <f aca="false">001_MikiZiso3!$G65</f>
        <v>2</v>
      </c>
      <c r="I79" s="54" t="str">
        <f aca="false">IF(OR(H79="",G79=""),"",IF(G79&gt;H79,"I",IF(G79=H79,"X","II")))</f>
        <v>II</v>
      </c>
      <c r="J79" s="53" t="str">
        <f aca="false">IF($E79="","",IF(I79=$E79,$E$175,0)+IF(AND($C79=G79,$D79=H79),$E$176,0))</f>
        <v/>
      </c>
      <c r="L79" s="53" t="n">
        <f aca="false">002_MikiZiso2!$F65</f>
        <v>1</v>
      </c>
      <c r="M79" s="53" t="n">
        <f aca="false">002_MikiZiso2!$G65</f>
        <v>2</v>
      </c>
      <c r="N79" s="54" t="str">
        <f aca="false">IF(OR(M79="",L79=""),"",IF(L79&gt;M79,"I",IF(L79=M79,"X","II")))</f>
        <v>II</v>
      </c>
      <c r="O79" s="53" t="str">
        <f aca="false">IF($E79="","",IF(N79=$E79,$E$175,0)+IF(AND($C79=L79,$D79=M79),$E$176,0))</f>
        <v/>
      </c>
      <c r="Q79" s="53" t="n">
        <f aca="false">003_Miki_Ziso!$F65</f>
        <v>1</v>
      </c>
      <c r="R79" s="53" t="n">
        <f aca="false">003_Miki_Ziso!$G65</f>
        <v>0</v>
      </c>
      <c r="S79" s="54" t="str">
        <f aca="false">IF(OR(R79="",Q79=""),"",IF(Q79&gt;R79,"I",IF(Q79=R79,"X","II")))</f>
        <v>I</v>
      </c>
      <c r="T79" s="53" t="str">
        <f aca="false">IF($E79="","",IF(S79=$E79,$E$175,0)+IF(AND($C79=Q79,$D79=R79),$E$176,0))</f>
        <v/>
      </c>
      <c r="V79" s="53" t="n">
        <f aca="false">004_Nir1!$F65</f>
        <v>3</v>
      </c>
      <c r="W79" s="53" t="n">
        <f aca="false">004_Nir1!$G65</f>
        <v>1</v>
      </c>
      <c r="X79" s="54" t="str">
        <f aca="false">IF(OR(W79="",V79=""),"",IF(V79&gt;W79,"I",IF(V79=W79,"X","II")))</f>
        <v>I</v>
      </c>
      <c r="Y79" s="53" t="str">
        <f aca="false">IF($E79="","",IF(X79=$E79,$E$175,0)+IF(AND($C79=V79,$D79=W79),$E$176,0))</f>
        <v/>
      </c>
      <c r="AA79" s="53" t="n">
        <f aca="false">005_Nir2!$F65</f>
        <v>0</v>
      </c>
      <c r="AB79" s="53" t="n">
        <f aca="false">005_Nir2!$G65</f>
        <v>0</v>
      </c>
      <c r="AC79" s="54" t="str">
        <f aca="false">IF(OR(AB79="",AA79=""),"",IF(AA79&gt;AB79,"I",IF(AA79=AB79,"X","II")))</f>
        <v>X</v>
      </c>
      <c r="AD79" s="53" t="str">
        <f aca="false">IF($E79="","",IF(AC79=$E79,$E$175,0)+IF(AND($C79=AA79,$D79=AB79),$E$176,0))</f>
        <v/>
      </c>
      <c r="AF79" s="53" t="n">
        <f aca="false">006_Nir3!$F65</f>
        <v>1</v>
      </c>
      <c r="AG79" s="53" t="n">
        <f aca="false">006_Nir3!$G65</f>
        <v>1</v>
      </c>
      <c r="AH79" s="54" t="str">
        <f aca="false">IF(OR(AG79="",AF79=""),"",IF(AF79&gt;AG79,"I",IF(AF79=AG79,"X","II")))</f>
        <v>X</v>
      </c>
      <c r="AI79" s="53" t="str">
        <f aca="false">IF($E79="","",IF(AH79=$E79,$E$175,0)+IF(AND($C79=AF79,$D79=AG79),$E$176,0))</f>
        <v/>
      </c>
    </row>
    <row r="80" customFormat="false" ht="14.25" hidden="false" customHeight="true" outlineLevel="0" collapsed="false">
      <c r="A80" s="6" t="n">
        <v>60</v>
      </c>
      <c r="B80" s="6" t="s">
        <v>71</v>
      </c>
      <c r="C80" s="52" t="str">
        <f aca="false">IF(Summary!L63="","",Summary!L63)</f>
        <v/>
      </c>
      <c r="D80" s="52" t="str">
        <f aca="false">IF(Summary!M63="","",Summary!M63)</f>
        <v/>
      </c>
      <c r="E80" s="14" t="str">
        <f aca="false">IF(OR(D80="",C80=""),"",IF(C80&gt;D80,"I",IF(C80=D80,"X","II")))</f>
        <v/>
      </c>
      <c r="F80" s="6"/>
      <c r="G80" s="53" t="n">
        <f aca="false">001_MikiZiso3!$F66</f>
        <v>0</v>
      </c>
      <c r="H80" s="53" t="n">
        <f aca="false">001_MikiZiso3!$G66</f>
        <v>1</v>
      </c>
      <c r="I80" s="54" t="str">
        <f aca="false">IF(OR(H80="",G80=""),"",IF(G80&gt;H80,"I",IF(G80=H80,"X","II")))</f>
        <v>II</v>
      </c>
      <c r="J80" s="53" t="str">
        <f aca="false">IF($E80="","",IF(I80=$E80,$E$175,0)+IF(AND($C80=G80,$D80=H80),$E$176,0))</f>
        <v/>
      </c>
      <c r="L80" s="53" t="n">
        <f aca="false">002_MikiZiso2!$F66</f>
        <v>0</v>
      </c>
      <c r="M80" s="53" t="n">
        <f aca="false">002_MikiZiso2!$G66</f>
        <v>1</v>
      </c>
      <c r="N80" s="54" t="str">
        <f aca="false">IF(OR(M80="",L80=""),"",IF(L80&gt;M80,"I",IF(L80=M80,"X","II")))</f>
        <v>II</v>
      </c>
      <c r="O80" s="53" t="str">
        <f aca="false">IF($E80="","",IF(N80=$E80,$E$175,0)+IF(AND($C80=L80,$D80=M80),$E$176,0))</f>
        <v/>
      </c>
      <c r="Q80" s="53" t="n">
        <f aca="false">003_Miki_Ziso!$F66</f>
        <v>0</v>
      </c>
      <c r="R80" s="53" t="n">
        <f aca="false">003_Miki_Ziso!$G66</f>
        <v>1</v>
      </c>
      <c r="S80" s="54" t="str">
        <f aca="false">IF(OR(R80="",Q80=""),"",IF(Q80&gt;R80,"I",IF(Q80=R80,"X","II")))</f>
        <v>II</v>
      </c>
      <c r="T80" s="53" t="str">
        <f aca="false">IF($E80="","",IF(S80=$E80,$E$175,0)+IF(AND($C80=Q80,$D80=R80),$E$176,0))</f>
        <v/>
      </c>
      <c r="V80" s="53" t="n">
        <f aca="false">004_Nir1!$F66</f>
        <v>1</v>
      </c>
      <c r="W80" s="53" t="n">
        <f aca="false">004_Nir1!$G66</f>
        <v>1</v>
      </c>
      <c r="X80" s="54" t="str">
        <f aca="false">IF(OR(W80="",V80=""),"",IF(V80&gt;W80,"I",IF(V80=W80,"X","II")))</f>
        <v>X</v>
      </c>
      <c r="Y80" s="53" t="str">
        <f aca="false">IF($E80="","",IF(X80=$E80,$E$175,0)+IF(AND($C80=V80,$D80=W80),$E$176,0))</f>
        <v/>
      </c>
      <c r="AA80" s="53" t="n">
        <f aca="false">005_Nir2!$F66</f>
        <v>0</v>
      </c>
      <c r="AB80" s="53" t="n">
        <f aca="false">005_Nir2!$G66</f>
        <v>1</v>
      </c>
      <c r="AC80" s="54" t="str">
        <f aca="false">IF(OR(AB80="",AA80=""),"",IF(AA80&gt;AB80,"I",IF(AA80=AB80,"X","II")))</f>
        <v>II</v>
      </c>
      <c r="AD80" s="53" t="str">
        <f aca="false">IF($E80="","",IF(AC80=$E80,$E$175,0)+IF(AND($C80=AA80,$D80=AB80),$E$176,0))</f>
        <v/>
      </c>
      <c r="AF80" s="53" t="n">
        <f aca="false">006_Nir3!$F66</f>
        <v>0</v>
      </c>
      <c r="AG80" s="53" t="n">
        <f aca="false">006_Nir3!$G66</f>
        <v>3</v>
      </c>
      <c r="AH80" s="54" t="str">
        <f aca="false">IF(OR(AG80="",AF80=""),"",IF(AF80&gt;AG80,"I",IF(AF80=AG80,"X","II")))</f>
        <v>II</v>
      </c>
      <c r="AI80" s="53" t="str">
        <f aca="false">IF($E80="","",IF(AH80=$E80,$E$175,0)+IF(AND($C80=AF80,$D80=AG80),$E$176,0))</f>
        <v/>
      </c>
    </row>
    <row r="81" customFormat="false" ht="14.25" hidden="false" customHeight="true" outlineLevel="0" collapsed="false">
      <c r="A81" s="6" t="n">
        <v>61</v>
      </c>
      <c r="B81" s="6" t="s">
        <v>72</v>
      </c>
      <c r="C81" s="52" t="str">
        <f aca="false">IF(Summary!L64="","",Summary!L64)</f>
        <v/>
      </c>
      <c r="D81" s="52" t="str">
        <f aca="false">IF(Summary!M64="","",Summary!M64)</f>
        <v/>
      </c>
      <c r="E81" s="14" t="str">
        <f aca="false">IF(OR(D81="",C81=""),"",IF(C81&gt;D81,"I",IF(C81=D81,"X","II")))</f>
        <v/>
      </c>
      <c r="F81" s="6"/>
      <c r="G81" s="53" t="n">
        <f aca="false">001_MikiZiso3!$F67</f>
        <v>1</v>
      </c>
      <c r="H81" s="53" t="n">
        <f aca="false">001_MikiZiso3!$G67</f>
        <v>0</v>
      </c>
      <c r="I81" s="54" t="str">
        <f aca="false">IF(OR(H81="",G81=""),"",IF(G81&gt;H81,"I",IF(G81=H81,"X","II")))</f>
        <v>I</v>
      </c>
      <c r="J81" s="53" t="str">
        <f aca="false">IF($E81="","",IF(I81=$E81,$E$175,0)+IF(AND($C81=G81,$D81=H81),$E$176,0))</f>
        <v/>
      </c>
      <c r="L81" s="53" t="n">
        <f aca="false">002_MikiZiso2!$F67</f>
        <v>1</v>
      </c>
      <c r="M81" s="53" t="n">
        <f aca="false">002_MikiZiso2!$G67</f>
        <v>0</v>
      </c>
      <c r="N81" s="54" t="str">
        <f aca="false">IF(OR(M81="",L81=""),"",IF(L81&gt;M81,"I",IF(L81=M81,"X","II")))</f>
        <v>I</v>
      </c>
      <c r="O81" s="53" t="str">
        <f aca="false">IF($E81="","",IF(N81=$E81,$E$175,0)+IF(AND($C81=L81,$D81=M81),$E$176,0))</f>
        <v/>
      </c>
      <c r="Q81" s="53" t="n">
        <f aca="false">003_Miki_Ziso!$F67</f>
        <v>1</v>
      </c>
      <c r="R81" s="53" t="n">
        <f aca="false">003_Miki_Ziso!$G67</f>
        <v>0</v>
      </c>
      <c r="S81" s="54" t="str">
        <f aca="false">IF(OR(R81="",Q81=""),"",IF(Q81&gt;R81,"I",IF(Q81=R81,"X","II")))</f>
        <v>I</v>
      </c>
      <c r="T81" s="53" t="str">
        <f aca="false">IF($E81="","",IF(S81=$E81,$E$175,0)+IF(AND($C81=Q81,$D81=R81),$E$176,0))</f>
        <v/>
      </c>
      <c r="V81" s="53" t="n">
        <f aca="false">004_Nir1!$F67</f>
        <v>2</v>
      </c>
      <c r="W81" s="53" t="n">
        <f aca="false">004_Nir1!$G67</f>
        <v>2</v>
      </c>
      <c r="X81" s="54" t="str">
        <f aca="false">IF(OR(W81="",V81=""),"",IF(V81&gt;W81,"I",IF(V81=W81,"X","II")))</f>
        <v>X</v>
      </c>
      <c r="Y81" s="53" t="str">
        <f aca="false">IF($E81="","",IF(X81=$E81,$E$175,0)+IF(AND($C81=V81,$D81=W81),$E$176,0))</f>
        <v/>
      </c>
      <c r="AA81" s="53" t="n">
        <f aca="false">005_Nir2!$F67</f>
        <v>0</v>
      </c>
      <c r="AB81" s="53" t="n">
        <f aca="false">005_Nir2!$G67</f>
        <v>1</v>
      </c>
      <c r="AC81" s="54" t="str">
        <f aca="false">IF(OR(AB81="",AA81=""),"",IF(AA81&gt;AB81,"I",IF(AA81=AB81,"X","II")))</f>
        <v>II</v>
      </c>
      <c r="AD81" s="53" t="str">
        <f aca="false">IF($E81="","",IF(AC81=$E81,$E$175,0)+IF(AND($C81=AA81,$D81=AB81),$E$176,0))</f>
        <v/>
      </c>
      <c r="AF81" s="53" t="n">
        <f aca="false">006_Nir3!$F67</f>
        <v>1</v>
      </c>
      <c r="AG81" s="53" t="n">
        <f aca="false">006_Nir3!$G67</f>
        <v>0</v>
      </c>
      <c r="AH81" s="54" t="str">
        <f aca="false">IF(OR(AG81="",AF81=""),"",IF(AF81&gt;AG81,"I",IF(AF81=AG81,"X","II")))</f>
        <v>I</v>
      </c>
      <c r="AI81" s="53" t="str">
        <f aca="false">IF($E81="","",IF(AH81=$E81,$E$175,0)+IF(AND($C81=AF81,$D81=AG81),$E$176,0))</f>
        <v/>
      </c>
    </row>
    <row r="82" customFormat="false" ht="14.25" hidden="false" customHeight="true" outlineLevel="0" collapsed="false">
      <c r="A82" s="6" t="n">
        <v>62</v>
      </c>
      <c r="B82" s="6" t="s">
        <v>73</v>
      </c>
      <c r="C82" s="52" t="str">
        <f aca="false">IF(Summary!L65="","",Summary!L65)</f>
        <v/>
      </c>
      <c r="D82" s="52" t="str">
        <f aca="false">IF(Summary!M65="","",Summary!M65)</f>
        <v/>
      </c>
      <c r="E82" s="14" t="str">
        <f aca="false">IF(OR(D82="",C82=""),"",IF(C82&gt;D82,"I",IF(C82=D82,"X","II")))</f>
        <v/>
      </c>
      <c r="F82" s="6"/>
      <c r="G82" s="53" t="n">
        <f aca="false">001_MikiZiso3!$F68</f>
        <v>0</v>
      </c>
      <c r="H82" s="53" t="n">
        <f aca="false">001_MikiZiso3!$G68</f>
        <v>2</v>
      </c>
      <c r="I82" s="54" t="str">
        <f aca="false">IF(OR(H82="",G82=""),"",IF(G82&gt;H82,"I",IF(G82=H82,"X","II")))</f>
        <v>II</v>
      </c>
      <c r="J82" s="53" t="str">
        <f aca="false">IF($E82="","",IF(I82=$E82,$E$175,0)+IF(AND($C82=G82,$D82=H82),$E$176,0))</f>
        <v/>
      </c>
      <c r="L82" s="53" t="n">
        <f aca="false">002_MikiZiso2!$F68</f>
        <v>0</v>
      </c>
      <c r="M82" s="53" t="n">
        <f aca="false">002_MikiZiso2!$G68</f>
        <v>2</v>
      </c>
      <c r="N82" s="54" t="str">
        <f aca="false">IF(OR(M82="",L82=""),"",IF(L82&gt;M82,"I",IF(L82=M82,"X","II")))</f>
        <v>II</v>
      </c>
      <c r="O82" s="53" t="str">
        <f aca="false">IF($E82="","",IF(N82=$E82,$E$175,0)+IF(AND($C82=L82,$D82=M82),$E$176,0))</f>
        <v/>
      </c>
      <c r="Q82" s="53" t="n">
        <f aca="false">003_Miki_Ziso!$F68</f>
        <v>0</v>
      </c>
      <c r="R82" s="53" t="n">
        <f aca="false">003_Miki_Ziso!$G68</f>
        <v>2</v>
      </c>
      <c r="S82" s="54" t="str">
        <f aca="false">IF(OR(R82="",Q82=""),"",IF(Q82&gt;R82,"I",IF(Q82=R82,"X","II")))</f>
        <v>II</v>
      </c>
      <c r="T82" s="53" t="str">
        <f aca="false">IF($E82="","",IF(S82=$E82,$E$175,0)+IF(AND($C82=Q82,$D82=R82),$E$176,0))</f>
        <v/>
      </c>
      <c r="V82" s="53" t="n">
        <f aca="false">004_Nir1!$F68</f>
        <v>0</v>
      </c>
      <c r="W82" s="53" t="n">
        <f aca="false">004_Nir1!$G68</f>
        <v>1</v>
      </c>
      <c r="X82" s="54" t="str">
        <f aca="false">IF(OR(W82="",V82=""),"",IF(V82&gt;W82,"I",IF(V82=W82,"X","II")))</f>
        <v>II</v>
      </c>
      <c r="Y82" s="53" t="str">
        <f aca="false">IF($E82="","",IF(X82=$E82,$E$175,0)+IF(AND($C82=V82,$D82=W82),$E$176,0))</f>
        <v/>
      </c>
      <c r="AA82" s="53" t="n">
        <f aca="false">005_Nir2!$F68</f>
        <v>1</v>
      </c>
      <c r="AB82" s="53" t="n">
        <f aca="false">005_Nir2!$G68</f>
        <v>1</v>
      </c>
      <c r="AC82" s="54" t="str">
        <f aca="false">IF(OR(AB82="",AA82=""),"",IF(AA82&gt;AB82,"I",IF(AA82=AB82,"X","II")))</f>
        <v>X</v>
      </c>
      <c r="AD82" s="53" t="str">
        <f aca="false">IF($E82="","",IF(AC82=$E82,$E$175,0)+IF(AND($C82=AA82,$D82=AB82),$E$176,0))</f>
        <v/>
      </c>
      <c r="AF82" s="53" t="n">
        <f aca="false">006_Nir3!$F68</f>
        <v>2</v>
      </c>
      <c r="AG82" s="53" t="n">
        <f aca="false">006_Nir3!$G68</f>
        <v>1</v>
      </c>
      <c r="AH82" s="54" t="str">
        <f aca="false">IF(OR(AG82="",AF82=""),"",IF(AF82&gt;AG82,"I",IF(AF82=AG82,"X","II")))</f>
        <v>I</v>
      </c>
      <c r="AI82" s="53" t="str">
        <f aca="false">IF($E82="","",IF(AH82=$E82,$E$175,0)+IF(AND($C82=AF82,$D82=AG82),$E$176,0))</f>
        <v/>
      </c>
    </row>
    <row r="83" customFormat="false" ht="14.25" hidden="false" customHeight="true" outlineLevel="0" collapsed="false">
      <c r="A83" s="6" t="n">
        <v>63</v>
      </c>
      <c r="B83" s="6" t="s">
        <v>74</v>
      </c>
      <c r="C83" s="52" t="str">
        <f aca="false">IF(Summary!L66="","",Summary!L66)</f>
        <v/>
      </c>
      <c r="D83" s="52" t="str">
        <f aca="false">IF(Summary!M66="","",Summary!M66)</f>
        <v/>
      </c>
      <c r="E83" s="14" t="str">
        <f aca="false">IF(OR(D83="",C83=""),"",IF(C83&gt;D83,"I",IF(C83=D83,"X","II")))</f>
        <v/>
      </c>
      <c r="F83" s="6"/>
      <c r="G83" s="53" t="n">
        <f aca="false">001_MikiZiso3!$F69</f>
        <v>2</v>
      </c>
      <c r="H83" s="53" t="n">
        <f aca="false">001_MikiZiso3!$G69</f>
        <v>0</v>
      </c>
      <c r="I83" s="54" t="str">
        <f aca="false">IF(OR(H83="",G83=""),"",IF(G83&gt;H83,"I",IF(G83=H83,"X","II")))</f>
        <v>I</v>
      </c>
      <c r="J83" s="53" t="str">
        <f aca="false">IF($E83="","",IF(I83=$E83,$E$175,0)+IF(AND($C83=G83,$D83=H83),$E$176,0))</f>
        <v/>
      </c>
      <c r="L83" s="53" t="n">
        <f aca="false">002_MikiZiso2!$F69</f>
        <v>2</v>
      </c>
      <c r="M83" s="53" t="n">
        <f aca="false">002_MikiZiso2!$G69</f>
        <v>0</v>
      </c>
      <c r="N83" s="54" t="str">
        <f aca="false">IF(OR(M83="",L83=""),"",IF(L83&gt;M83,"I",IF(L83=M83,"X","II")))</f>
        <v>I</v>
      </c>
      <c r="O83" s="53" t="str">
        <f aca="false">IF($E83="","",IF(N83=$E83,$E$175,0)+IF(AND($C83=L83,$D83=M83),$E$176,0))</f>
        <v/>
      </c>
      <c r="Q83" s="53" t="n">
        <f aca="false">003_Miki_Ziso!$F69</f>
        <v>2</v>
      </c>
      <c r="R83" s="53" t="n">
        <f aca="false">003_Miki_Ziso!$G69</f>
        <v>0</v>
      </c>
      <c r="S83" s="54" t="str">
        <f aca="false">IF(OR(R83="",Q83=""),"",IF(Q83&gt;R83,"I",IF(Q83=R83,"X","II")))</f>
        <v>I</v>
      </c>
      <c r="T83" s="53" t="str">
        <f aca="false">IF($E83="","",IF(S83=$E83,$E$175,0)+IF(AND($C83=Q83,$D83=R83),$E$176,0))</f>
        <v/>
      </c>
      <c r="V83" s="53" t="n">
        <f aca="false">004_Nir1!$F69</f>
        <v>0</v>
      </c>
      <c r="W83" s="53" t="n">
        <f aca="false">004_Nir1!$G69</f>
        <v>2</v>
      </c>
      <c r="X83" s="54" t="str">
        <f aca="false">IF(OR(W83="",V83=""),"",IF(V83&gt;W83,"I",IF(V83=W83,"X","II")))</f>
        <v>II</v>
      </c>
      <c r="Y83" s="53" t="str">
        <f aca="false">IF($E83="","",IF(X83=$E83,$E$175,0)+IF(AND($C83=V83,$D83=W83),$E$176,0))</f>
        <v/>
      </c>
      <c r="AA83" s="53" t="n">
        <f aca="false">005_Nir2!$F69</f>
        <v>2</v>
      </c>
      <c r="AB83" s="53" t="n">
        <f aca="false">005_Nir2!$G69</f>
        <v>1</v>
      </c>
      <c r="AC83" s="54" t="str">
        <f aca="false">IF(OR(AB83="",AA83=""),"",IF(AA83&gt;AB83,"I",IF(AA83=AB83,"X","II")))</f>
        <v>I</v>
      </c>
      <c r="AD83" s="53" t="str">
        <f aca="false">IF($E83="","",IF(AC83=$E83,$E$175,0)+IF(AND($C83=AA83,$D83=AB83),$E$176,0))</f>
        <v/>
      </c>
      <c r="AF83" s="53" t="n">
        <f aca="false">006_Nir3!$F69</f>
        <v>3</v>
      </c>
      <c r="AG83" s="53" t="n">
        <f aca="false">006_Nir3!$G69</f>
        <v>1</v>
      </c>
      <c r="AH83" s="54" t="str">
        <f aca="false">IF(OR(AG83="",AF83=""),"",IF(AF83&gt;AG83,"I",IF(AF83=AG83,"X","II")))</f>
        <v>I</v>
      </c>
      <c r="AI83" s="53" t="str">
        <f aca="false">IF($E83="","",IF(AH83=$E83,$E$175,0)+IF(AND($C83=AF83,$D83=AG83),$E$176,0))</f>
        <v/>
      </c>
    </row>
    <row r="84" customFormat="false" ht="14.25" hidden="false" customHeight="true" outlineLevel="0" collapsed="false">
      <c r="A84" s="6" t="n">
        <v>64</v>
      </c>
      <c r="B84" s="6" t="s">
        <v>75</v>
      </c>
      <c r="C84" s="52" t="str">
        <f aca="false">IF(Summary!L67="","",Summary!L67)</f>
        <v/>
      </c>
      <c r="D84" s="52" t="str">
        <f aca="false">IF(Summary!M67="","",Summary!M67)</f>
        <v/>
      </c>
      <c r="E84" s="14" t="str">
        <f aca="false">IF(OR(D84="",C84=""),"",IF(C84&gt;D84,"I",IF(C84=D84,"X","II")))</f>
        <v/>
      </c>
      <c r="F84" s="6"/>
      <c r="G84" s="53" t="n">
        <f aca="false">001_MikiZiso3!$F70</f>
        <v>2</v>
      </c>
      <c r="H84" s="53" t="n">
        <f aca="false">001_MikiZiso3!$G70</f>
        <v>3</v>
      </c>
      <c r="I84" s="54" t="str">
        <f aca="false">IF(OR(H84="",G84=""),"",IF(G84&gt;H84,"I",IF(G84=H84,"X","II")))</f>
        <v>II</v>
      </c>
      <c r="J84" s="53" t="str">
        <f aca="false">IF($E84="","",IF(I84=$E84,$E$175,0)+IF(AND($C84=G84,$D84=H84),$E$176,0))</f>
        <v/>
      </c>
      <c r="L84" s="53" t="n">
        <f aca="false">002_MikiZiso2!$F70</f>
        <v>2</v>
      </c>
      <c r="M84" s="53" t="n">
        <f aca="false">002_MikiZiso2!$G70</f>
        <v>3</v>
      </c>
      <c r="N84" s="54" t="str">
        <f aca="false">IF(OR(M84="",L84=""),"",IF(L84&gt;M84,"I",IF(L84=M84,"X","II")))</f>
        <v>II</v>
      </c>
      <c r="O84" s="53" t="str">
        <f aca="false">IF($E84="","",IF(N84=$E84,$E$175,0)+IF(AND($C84=L84,$D84=M84),$E$176,0))</f>
        <v/>
      </c>
      <c r="Q84" s="53" t="n">
        <f aca="false">003_Miki_Ziso!$F70</f>
        <v>2</v>
      </c>
      <c r="R84" s="53" t="n">
        <f aca="false">003_Miki_Ziso!$G70</f>
        <v>2</v>
      </c>
      <c r="S84" s="54" t="str">
        <f aca="false">IF(OR(R84="",Q84=""),"",IF(Q84&gt;R84,"I",IF(Q84=R84,"X","II")))</f>
        <v>X</v>
      </c>
      <c r="T84" s="53" t="str">
        <f aca="false">IF($E84="","",IF(S84=$E84,$E$175,0)+IF(AND($C84=Q84,$D84=R84),$E$176,0))</f>
        <v/>
      </c>
      <c r="V84" s="53" t="n">
        <f aca="false">004_Nir1!$F70</f>
        <v>0</v>
      </c>
      <c r="W84" s="53" t="n">
        <f aca="false">004_Nir1!$G70</f>
        <v>1</v>
      </c>
      <c r="X84" s="54" t="str">
        <f aca="false">IF(OR(W84="",V84=""),"",IF(V84&gt;W84,"I",IF(V84=W84,"X","II")))</f>
        <v>II</v>
      </c>
      <c r="Y84" s="53" t="str">
        <f aca="false">IF($E84="","",IF(X84=$E84,$E$175,0)+IF(AND($C84=V84,$D84=W84),$E$176,0))</f>
        <v/>
      </c>
      <c r="AA84" s="53" t="n">
        <f aca="false">005_Nir2!$F70</f>
        <v>1</v>
      </c>
      <c r="AB84" s="53" t="n">
        <f aca="false">005_Nir2!$G70</f>
        <v>2</v>
      </c>
      <c r="AC84" s="54" t="str">
        <f aca="false">IF(OR(AB84="",AA84=""),"",IF(AA84&gt;AB84,"I",IF(AA84=AB84,"X","II")))</f>
        <v>II</v>
      </c>
      <c r="AD84" s="53" t="str">
        <f aca="false">IF($E84="","",IF(AC84=$E84,$E$175,0)+IF(AND($C84=AA84,$D84=AB84),$E$176,0))</f>
        <v/>
      </c>
      <c r="AF84" s="53" t="n">
        <f aca="false">006_Nir3!$F70</f>
        <v>0</v>
      </c>
      <c r="AG84" s="53" t="n">
        <f aca="false">006_Nir3!$G70</f>
        <v>1</v>
      </c>
      <c r="AH84" s="54" t="str">
        <f aca="false">IF(OR(AG84="",AF84=""),"",IF(AF84&gt;AG84,"I",IF(AF84=AG84,"X","II")))</f>
        <v>II</v>
      </c>
      <c r="AI84" s="53" t="str">
        <f aca="false">IF($E84="","",IF(AH84=$E84,$E$175,0)+IF(AND($C84=AF84,$D84=AG84),$E$176,0))</f>
        <v/>
      </c>
    </row>
    <row r="85" customFormat="false" ht="14.25" hidden="false" customHeight="true" outlineLevel="0" collapsed="false">
      <c r="A85" s="6" t="n">
        <v>65</v>
      </c>
      <c r="B85" s="6" t="s">
        <v>76</v>
      </c>
      <c r="C85" s="52" t="str">
        <f aca="false">IF(Summary!L68="","",Summary!L68)</f>
        <v/>
      </c>
      <c r="D85" s="52" t="str">
        <f aca="false">IF(Summary!M68="","",Summary!M68)</f>
        <v/>
      </c>
      <c r="E85" s="14" t="str">
        <f aca="false">IF(OR(D85="",C85=""),"",IF(C85&gt;D85,"I",IF(C85=D85,"X","II")))</f>
        <v/>
      </c>
      <c r="F85" s="6"/>
      <c r="G85" s="53" t="n">
        <f aca="false">001_MikiZiso3!$F71</f>
        <v>0</v>
      </c>
      <c r="H85" s="53" t="n">
        <f aca="false">001_MikiZiso3!$G71</f>
        <v>1</v>
      </c>
      <c r="I85" s="54" t="str">
        <f aca="false">IF(OR(H85="",G85=""),"",IF(G85&gt;H85,"I",IF(G85=H85,"X","II")))</f>
        <v>II</v>
      </c>
      <c r="J85" s="53" t="str">
        <f aca="false">IF($E85="","",IF(I85=$E85,$E$175,0)+IF(AND($C85=G85,$D85=H85),$E$176,0))</f>
        <v/>
      </c>
      <c r="L85" s="53" t="n">
        <f aca="false">002_MikiZiso2!$F71</f>
        <v>0</v>
      </c>
      <c r="M85" s="53" t="n">
        <f aca="false">002_MikiZiso2!$G71</f>
        <v>1</v>
      </c>
      <c r="N85" s="54" t="str">
        <f aca="false">IF(OR(M85="",L85=""),"",IF(L85&gt;M85,"I",IF(L85=M85,"X","II")))</f>
        <v>II</v>
      </c>
      <c r="O85" s="53" t="str">
        <f aca="false">IF($E85="","",IF(N85=$E85,$E$175,0)+IF(AND($C85=L85,$D85=M85),$E$176,0))</f>
        <v/>
      </c>
      <c r="Q85" s="53" t="n">
        <f aca="false">003_Miki_Ziso!$F71</f>
        <v>0</v>
      </c>
      <c r="R85" s="53" t="n">
        <f aca="false">003_Miki_Ziso!$G71</f>
        <v>1</v>
      </c>
      <c r="S85" s="54" t="str">
        <f aca="false">IF(OR(R85="",Q85=""),"",IF(Q85&gt;R85,"I",IF(Q85=R85,"X","II")))</f>
        <v>II</v>
      </c>
      <c r="T85" s="53" t="str">
        <f aca="false">IF($E85="","",IF(S85=$E85,$E$175,0)+IF(AND($C85=Q85,$D85=R85),$E$176,0))</f>
        <v/>
      </c>
      <c r="V85" s="53" t="n">
        <f aca="false">004_Nir1!$F71</f>
        <v>1</v>
      </c>
      <c r="W85" s="53" t="n">
        <f aca="false">004_Nir1!$G71</f>
        <v>2</v>
      </c>
      <c r="X85" s="54" t="str">
        <f aca="false">IF(OR(W85="",V85=""),"",IF(V85&gt;W85,"I",IF(V85=W85,"X","II")))</f>
        <v>II</v>
      </c>
      <c r="Y85" s="53" t="str">
        <f aca="false">IF($E85="","",IF(X85=$E85,$E$175,0)+IF(AND($C85=V85,$D85=W85),$E$176,0))</f>
        <v/>
      </c>
      <c r="AA85" s="53" t="n">
        <f aca="false">005_Nir2!$F71</f>
        <v>3</v>
      </c>
      <c r="AB85" s="53" t="n">
        <f aca="false">005_Nir2!$G71</f>
        <v>1</v>
      </c>
      <c r="AC85" s="54" t="str">
        <f aca="false">IF(OR(AB85="",AA85=""),"",IF(AA85&gt;AB85,"I",IF(AA85=AB85,"X","II")))</f>
        <v>I</v>
      </c>
      <c r="AD85" s="53" t="str">
        <f aca="false">IF($E85="","",IF(AC85=$E85,$E$175,0)+IF(AND($C85=AA85,$D85=AB85),$E$176,0))</f>
        <v/>
      </c>
      <c r="AF85" s="53" t="n">
        <f aca="false">006_Nir3!$F71</f>
        <v>3</v>
      </c>
      <c r="AG85" s="53" t="n">
        <f aca="false">006_Nir3!$G71</f>
        <v>2</v>
      </c>
      <c r="AH85" s="54" t="str">
        <f aca="false">IF(OR(AG85="",AF85=""),"",IF(AF85&gt;AG85,"I",IF(AF85=AG85,"X","II")))</f>
        <v>I</v>
      </c>
      <c r="AI85" s="53" t="str">
        <f aca="false">IF($E85="","",IF(AH85=$E85,$E$175,0)+IF(AND($C85=AF85,$D85=AG85),$E$176,0))</f>
        <v/>
      </c>
    </row>
    <row r="86" customFormat="false" ht="14.25" hidden="false" customHeight="true" outlineLevel="0" collapsed="false">
      <c r="A86" s="6" t="n">
        <v>66</v>
      </c>
      <c r="B86" s="6" t="s">
        <v>77</v>
      </c>
      <c r="C86" s="52" t="str">
        <f aca="false">IF(Summary!L69="","",Summary!L69)</f>
        <v/>
      </c>
      <c r="D86" s="52" t="str">
        <f aca="false">IF(Summary!M69="","",Summary!M69)</f>
        <v/>
      </c>
      <c r="E86" s="14" t="str">
        <f aca="false">IF(OR(D86="",C86=""),"",IF(C86&gt;D86,"I",IF(C86=D86,"X","II")))</f>
        <v/>
      </c>
      <c r="F86" s="6"/>
      <c r="G86" s="53" t="n">
        <f aca="false">001_MikiZiso3!$F72</f>
        <v>0</v>
      </c>
      <c r="H86" s="53" t="n">
        <f aca="false">001_MikiZiso3!$G72</f>
        <v>2</v>
      </c>
      <c r="I86" s="54" t="str">
        <f aca="false">IF(OR(H86="",G86=""),"",IF(G86&gt;H86,"I",IF(G86=H86,"X","II")))</f>
        <v>II</v>
      </c>
      <c r="J86" s="53" t="str">
        <f aca="false">IF($E86="","",IF(I86=$E86,$E$175,0)+IF(AND($C86=G86,$D86=H86),$E$176,0))</f>
        <v/>
      </c>
      <c r="L86" s="53" t="n">
        <f aca="false">002_MikiZiso2!$F72</f>
        <v>0</v>
      </c>
      <c r="M86" s="53" t="n">
        <f aca="false">002_MikiZiso2!$G72</f>
        <v>2</v>
      </c>
      <c r="N86" s="54" t="str">
        <f aca="false">IF(OR(M86="",L86=""),"",IF(L86&gt;M86,"I",IF(L86=M86,"X","II")))</f>
        <v>II</v>
      </c>
      <c r="O86" s="53" t="str">
        <f aca="false">IF($E86="","",IF(N86=$E86,$E$175,0)+IF(AND($C86=L86,$D86=M86),$E$176,0))</f>
        <v/>
      </c>
      <c r="Q86" s="53" t="n">
        <f aca="false">003_Miki_Ziso!$F72</f>
        <v>0</v>
      </c>
      <c r="R86" s="53" t="n">
        <f aca="false">003_Miki_Ziso!$G72</f>
        <v>2</v>
      </c>
      <c r="S86" s="54" t="str">
        <f aca="false">IF(OR(R86="",Q86=""),"",IF(Q86&gt;R86,"I",IF(Q86=R86,"X","II")))</f>
        <v>II</v>
      </c>
      <c r="T86" s="53" t="str">
        <f aca="false">IF($E86="","",IF(S86=$E86,$E$175,0)+IF(AND($C86=Q86,$D86=R86),$E$176,0))</f>
        <v/>
      </c>
      <c r="V86" s="53" t="n">
        <f aca="false">004_Nir1!$F72</f>
        <v>2</v>
      </c>
      <c r="W86" s="53" t="n">
        <f aca="false">004_Nir1!$G72</f>
        <v>2</v>
      </c>
      <c r="X86" s="54" t="str">
        <f aca="false">IF(OR(W86="",V86=""),"",IF(V86&gt;W86,"I",IF(V86=W86,"X","II")))</f>
        <v>X</v>
      </c>
      <c r="Y86" s="53" t="str">
        <f aca="false">IF($E86="","",IF(X86=$E86,$E$175,0)+IF(AND($C86=V86,$D86=W86),$E$176,0))</f>
        <v/>
      </c>
      <c r="AA86" s="53" t="n">
        <f aca="false">005_Nir2!$F72</f>
        <v>0</v>
      </c>
      <c r="AB86" s="53" t="n">
        <f aca="false">005_Nir2!$G72</f>
        <v>0</v>
      </c>
      <c r="AC86" s="54" t="str">
        <f aca="false">IF(OR(AB86="",AA86=""),"",IF(AA86&gt;AB86,"I",IF(AA86=AB86,"X","II")))</f>
        <v>X</v>
      </c>
      <c r="AD86" s="53" t="str">
        <f aca="false">IF($E86="","",IF(AC86=$E86,$E$175,0)+IF(AND($C86=AA86,$D86=AB86),$E$176,0))</f>
        <v/>
      </c>
      <c r="AF86" s="53" t="n">
        <f aca="false">006_Nir3!$F72</f>
        <v>2</v>
      </c>
      <c r="AG86" s="53" t="n">
        <f aca="false">006_Nir3!$G72</f>
        <v>1</v>
      </c>
      <c r="AH86" s="54" t="str">
        <f aca="false">IF(OR(AG86="",AF86=""),"",IF(AF86&gt;AG86,"I",IF(AF86=AG86,"X","II")))</f>
        <v>I</v>
      </c>
      <c r="AI86" s="53" t="str">
        <f aca="false">IF($E86="","",IF(AH86=$E86,$E$175,0)+IF(AND($C86=AF86,$D86=AG86),$E$176,0))</f>
        <v/>
      </c>
    </row>
    <row r="87" customFormat="false" ht="14.25" hidden="false" customHeight="true" outlineLevel="0" collapsed="false">
      <c r="A87" s="6" t="n">
        <v>67</v>
      </c>
      <c r="B87" s="6" t="s">
        <v>78</v>
      </c>
      <c r="C87" s="52" t="str">
        <f aca="false">IF(Summary!L70="","",Summary!L70)</f>
        <v/>
      </c>
      <c r="D87" s="52" t="str">
        <f aca="false">IF(Summary!M70="","",Summary!M70)</f>
        <v/>
      </c>
      <c r="E87" s="14" t="str">
        <f aca="false">IF(OR(D87="",C87=""),"",IF(C87&gt;D87,"I",IF(C87=D87,"X","II")))</f>
        <v/>
      </c>
      <c r="F87" s="6"/>
      <c r="G87" s="53" t="n">
        <f aca="false">001_MikiZiso3!$F73</f>
        <v>0</v>
      </c>
      <c r="H87" s="53" t="n">
        <f aca="false">001_MikiZiso3!$G73</f>
        <v>2</v>
      </c>
      <c r="I87" s="54" t="str">
        <f aca="false">IF(OR(H87="",G87=""),"",IF(G87&gt;H87,"I",IF(G87=H87,"X","II")))</f>
        <v>II</v>
      </c>
      <c r="J87" s="53" t="str">
        <f aca="false">IF($E87="","",IF(I87=$E87,$E$175,0)+IF(AND($C87=G87,$D87=H87),$E$176,0))</f>
        <v/>
      </c>
      <c r="L87" s="53" t="n">
        <f aca="false">002_MikiZiso2!$F73</f>
        <v>0</v>
      </c>
      <c r="M87" s="53" t="n">
        <f aca="false">002_MikiZiso2!$G73</f>
        <v>2</v>
      </c>
      <c r="N87" s="54" t="str">
        <f aca="false">IF(OR(M87="",L87=""),"",IF(L87&gt;M87,"I",IF(L87=M87,"X","II")))</f>
        <v>II</v>
      </c>
      <c r="O87" s="53" t="str">
        <f aca="false">IF($E87="","",IF(N87=$E87,$E$175,0)+IF(AND($C87=L87,$D87=M87),$E$176,0))</f>
        <v/>
      </c>
      <c r="Q87" s="53" t="n">
        <f aca="false">003_Miki_Ziso!$F73</f>
        <v>0</v>
      </c>
      <c r="R87" s="53" t="n">
        <f aca="false">003_Miki_Ziso!$G73</f>
        <v>2</v>
      </c>
      <c r="S87" s="54" t="str">
        <f aca="false">IF(OR(R87="",Q87=""),"",IF(Q87&gt;R87,"I",IF(Q87=R87,"X","II")))</f>
        <v>II</v>
      </c>
      <c r="T87" s="53" t="str">
        <f aca="false">IF($E87="","",IF(S87=$E87,$E$175,0)+IF(AND($C87=Q87,$D87=R87),$E$176,0))</f>
        <v/>
      </c>
      <c r="V87" s="53" t="n">
        <f aca="false">004_Nir1!$F73</f>
        <v>1</v>
      </c>
      <c r="W87" s="53" t="n">
        <f aca="false">004_Nir1!$G73</f>
        <v>2</v>
      </c>
      <c r="X87" s="54" t="str">
        <f aca="false">IF(OR(W87="",V87=""),"",IF(V87&gt;W87,"I",IF(V87=W87,"X","II")))</f>
        <v>II</v>
      </c>
      <c r="Y87" s="53" t="str">
        <f aca="false">IF($E87="","",IF(X87=$E87,$E$175,0)+IF(AND($C87=V87,$D87=W87),$E$176,0))</f>
        <v/>
      </c>
      <c r="AA87" s="53" t="n">
        <f aca="false">005_Nir2!$F73</f>
        <v>0</v>
      </c>
      <c r="AB87" s="53" t="n">
        <f aca="false">005_Nir2!$G73</f>
        <v>0</v>
      </c>
      <c r="AC87" s="54" t="str">
        <f aca="false">IF(OR(AB87="",AA87=""),"",IF(AA87&gt;AB87,"I",IF(AA87=AB87,"X","II")))</f>
        <v>X</v>
      </c>
      <c r="AD87" s="53" t="str">
        <f aca="false">IF($E87="","",IF(AC87=$E87,$E$175,0)+IF(AND($C87=AA87,$D87=AB87),$E$176,0))</f>
        <v/>
      </c>
      <c r="AF87" s="53" t="n">
        <f aca="false">006_Nir3!$F73</f>
        <v>1</v>
      </c>
      <c r="AG87" s="53" t="n">
        <f aca="false">006_Nir3!$G73</f>
        <v>2</v>
      </c>
      <c r="AH87" s="54" t="str">
        <f aca="false">IF(OR(AG87="",AF87=""),"",IF(AF87&gt;AG87,"I",IF(AF87=AG87,"X","II")))</f>
        <v>II</v>
      </c>
      <c r="AI87" s="53" t="str">
        <f aca="false">IF($E87="","",IF(AH87=$E87,$E$175,0)+IF(AND($C87=AF87,$D87=AG87),$E$176,0))</f>
        <v/>
      </c>
    </row>
    <row r="88" customFormat="false" ht="14.25" hidden="false" customHeight="true" outlineLevel="0" collapsed="false">
      <c r="A88" s="6" t="n">
        <v>68</v>
      </c>
      <c r="B88" s="6" t="s">
        <v>79</v>
      </c>
      <c r="C88" s="52" t="str">
        <f aca="false">IF(Summary!L71="","",Summary!L71)</f>
        <v/>
      </c>
      <c r="D88" s="52" t="str">
        <f aca="false">IF(Summary!M71="","",Summary!M71)</f>
        <v/>
      </c>
      <c r="E88" s="14" t="str">
        <f aca="false">IF(OR(D88="",C88=""),"",IF(C88&gt;D88,"I",IF(C88=D88,"X","II")))</f>
        <v/>
      </c>
      <c r="F88" s="6"/>
      <c r="G88" s="53" t="n">
        <f aca="false">001_MikiZiso3!$F74</f>
        <v>1</v>
      </c>
      <c r="H88" s="53" t="n">
        <f aca="false">001_MikiZiso3!$G74</f>
        <v>2</v>
      </c>
      <c r="I88" s="54" t="str">
        <f aca="false">IF(OR(H88="",G88=""),"",IF(G88&gt;H88,"I",IF(G88=H88,"X","II")))</f>
        <v>II</v>
      </c>
      <c r="J88" s="53" t="str">
        <f aca="false">IF($E88="","",IF(I88=$E88,$E$175,0)+IF(AND($C88=G88,$D88=H88),$E$176,0))</f>
        <v/>
      </c>
      <c r="L88" s="53" t="n">
        <f aca="false">002_MikiZiso2!$F74</f>
        <v>1</v>
      </c>
      <c r="M88" s="53" t="n">
        <f aca="false">002_MikiZiso2!$G74</f>
        <v>2</v>
      </c>
      <c r="N88" s="54" t="str">
        <f aca="false">IF(OR(M88="",L88=""),"",IF(L88&gt;M88,"I",IF(L88=M88,"X","II")))</f>
        <v>II</v>
      </c>
      <c r="O88" s="53" t="str">
        <f aca="false">IF($E88="","",IF(N88=$E88,$E$175,0)+IF(AND($C88=L88,$D88=M88),$E$176,0))</f>
        <v/>
      </c>
      <c r="Q88" s="53" t="n">
        <f aca="false">003_Miki_Ziso!$F74</f>
        <v>1</v>
      </c>
      <c r="R88" s="53" t="n">
        <f aca="false">003_Miki_Ziso!$G74</f>
        <v>2</v>
      </c>
      <c r="S88" s="54" t="str">
        <f aca="false">IF(OR(R88="",Q88=""),"",IF(Q88&gt;R88,"I",IF(Q88=R88,"X","II")))</f>
        <v>II</v>
      </c>
      <c r="T88" s="53" t="str">
        <f aca="false">IF($E88="","",IF(S88=$E88,$E$175,0)+IF(AND($C88=Q88,$D88=R88),$E$176,0))</f>
        <v/>
      </c>
      <c r="V88" s="53" t="n">
        <f aca="false">004_Nir1!$F74</f>
        <v>3</v>
      </c>
      <c r="W88" s="53" t="n">
        <f aca="false">004_Nir1!$G74</f>
        <v>0</v>
      </c>
      <c r="X88" s="54" t="str">
        <f aca="false">IF(OR(W88="",V88=""),"",IF(V88&gt;W88,"I",IF(V88=W88,"X","II")))</f>
        <v>I</v>
      </c>
      <c r="Y88" s="53" t="str">
        <f aca="false">IF($E88="","",IF(X88=$E88,$E$175,0)+IF(AND($C88=V88,$D88=W88),$E$176,0))</f>
        <v/>
      </c>
      <c r="AA88" s="53" t="n">
        <f aca="false">005_Nir2!$F74</f>
        <v>0</v>
      </c>
      <c r="AB88" s="53" t="n">
        <f aca="false">005_Nir2!$G74</f>
        <v>0</v>
      </c>
      <c r="AC88" s="54" t="str">
        <f aca="false">IF(OR(AB88="",AA88=""),"",IF(AA88&gt;AB88,"I",IF(AA88=AB88,"X","II")))</f>
        <v>X</v>
      </c>
      <c r="AD88" s="53" t="str">
        <f aca="false">IF($E88="","",IF(AC88=$E88,$E$175,0)+IF(AND($C88=AA88,$D88=AB88),$E$176,0))</f>
        <v/>
      </c>
      <c r="AF88" s="53" t="n">
        <f aca="false">006_Nir3!$F74</f>
        <v>0</v>
      </c>
      <c r="AG88" s="53" t="n">
        <f aca="false">006_Nir3!$G74</f>
        <v>3</v>
      </c>
      <c r="AH88" s="54" t="str">
        <f aca="false">IF(OR(AG88="",AF88=""),"",IF(AF88&gt;AG88,"I",IF(AF88=AG88,"X","II")))</f>
        <v>II</v>
      </c>
      <c r="AI88" s="53" t="str">
        <f aca="false">IF($E88="","",IF(AH88=$E88,$E$175,0)+IF(AND($C88=AF88,$D88=AG88),$E$176,0))</f>
        <v/>
      </c>
    </row>
    <row r="89" customFormat="false" ht="14.25" hidden="false" customHeight="true" outlineLevel="0" collapsed="false">
      <c r="A89" s="6" t="n">
        <v>69</v>
      </c>
      <c r="B89" s="6" t="s">
        <v>80</v>
      </c>
      <c r="C89" s="52" t="str">
        <f aca="false">IF(Summary!L72="","",Summary!L72)</f>
        <v/>
      </c>
      <c r="D89" s="52" t="str">
        <f aca="false">IF(Summary!M72="","",Summary!M72)</f>
        <v/>
      </c>
      <c r="E89" s="14" t="str">
        <f aca="false">IF(OR(D89="",C89=""),"",IF(C89&gt;D89,"I",IF(C89=D89,"X","II")))</f>
        <v/>
      </c>
      <c r="F89" s="6"/>
      <c r="G89" s="53" t="n">
        <f aca="false">001_MikiZiso3!$F75</f>
        <v>0</v>
      </c>
      <c r="H89" s="53" t="n">
        <f aca="false">001_MikiZiso3!$G75</f>
        <v>1</v>
      </c>
      <c r="I89" s="54" t="str">
        <f aca="false">IF(OR(H89="",G89=""),"",IF(G89&gt;H89,"I",IF(G89=H89,"X","II")))</f>
        <v>II</v>
      </c>
      <c r="J89" s="53" t="str">
        <f aca="false">IF($E89="","",IF(I89=$E89,$E$175,0)+IF(AND($C89=G89,$D89=H89),$E$176,0))</f>
        <v/>
      </c>
      <c r="L89" s="53" t="n">
        <f aca="false">002_MikiZiso2!$F75</f>
        <v>0</v>
      </c>
      <c r="M89" s="53" t="n">
        <f aca="false">002_MikiZiso2!$G75</f>
        <v>1</v>
      </c>
      <c r="N89" s="54" t="str">
        <f aca="false">IF(OR(M89="",L89=""),"",IF(L89&gt;M89,"I",IF(L89=M89,"X","II")))</f>
        <v>II</v>
      </c>
      <c r="O89" s="53" t="str">
        <f aca="false">IF($E89="","",IF(N89=$E89,$E$175,0)+IF(AND($C89=L89,$D89=M89),$E$176,0))</f>
        <v/>
      </c>
      <c r="Q89" s="53" t="n">
        <f aca="false">003_Miki_Ziso!$F75</f>
        <v>0</v>
      </c>
      <c r="R89" s="53" t="n">
        <f aca="false">003_Miki_Ziso!$G75</f>
        <v>1</v>
      </c>
      <c r="S89" s="54" t="str">
        <f aca="false">IF(OR(R89="",Q89=""),"",IF(Q89&gt;R89,"I",IF(Q89=R89,"X","II")))</f>
        <v>II</v>
      </c>
      <c r="T89" s="53" t="str">
        <f aca="false">IF($E89="","",IF(S89=$E89,$E$175,0)+IF(AND($C89=Q89,$D89=R89),$E$176,0))</f>
        <v/>
      </c>
      <c r="V89" s="53" t="n">
        <f aca="false">004_Nir1!$F75</f>
        <v>1</v>
      </c>
      <c r="W89" s="53" t="n">
        <f aca="false">004_Nir1!$G75</f>
        <v>1</v>
      </c>
      <c r="X89" s="54" t="str">
        <f aca="false">IF(OR(W89="",V89=""),"",IF(V89&gt;W89,"I",IF(V89=W89,"X","II")))</f>
        <v>X</v>
      </c>
      <c r="Y89" s="53" t="str">
        <f aca="false">IF($E89="","",IF(X89=$E89,$E$175,0)+IF(AND($C89=V89,$D89=W89),$E$176,0))</f>
        <v/>
      </c>
      <c r="AA89" s="53" t="n">
        <f aca="false">005_Nir2!$F75</f>
        <v>0</v>
      </c>
      <c r="AB89" s="53" t="n">
        <f aca="false">005_Nir2!$G75</f>
        <v>2</v>
      </c>
      <c r="AC89" s="54" t="str">
        <f aca="false">IF(OR(AB89="",AA89=""),"",IF(AA89&gt;AB89,"I",IF(AA89=AB89,"X","II")))</f>
        <v>II</v>
      </c>
      <c r="AD89" s="53" t="str">
        <f aca="false">IF($E89="","",IF(AC89=$E89,$E$175,0)+IF(AND($C89=AA89,$D89=AB89),$E$176,0))</f>
        <v/>
      </c>
      <c r="AF89" s="53" t="n">
        <f aca="false">006_Nir3!$F75</f>
        <v>1</v>
      </c>
      <c r="AG89" s="53" t="n">
        <f aca="false">006_Nir3!$G75</f>
        <v>4</v>
      </c>
      <c r="AH89" s="54" t="str">
        <f aca="false">IF(OR(AG89="",AF89=""),"",IF(AF89&gt;AG89,"I",IF(AF89=AG89,"X","II")))</f>
        <v>II</v>
      </c>
      <c r="AI89" s="53" t="str">
        <f aca="false">IF($E89="","",IF(AH89=$E89,$E$175,0)+IF(AND($C89=AF89,$D89=AG89),$E$176,0))</f>
        <v/>
      </c>
    </row>
    <row r="90" customFormat="false" ht="14.25" hidden="false" customHeight="true" outlineLevel="0" collapsed="false">
      <c r="A90" s="6" t="n">
        <v>70</v>
      </c>
      <c r="B90" s="6" t="s">
        <v>81</v>
      </c>
      <c r="C90" s="52" t="str">
        <f aca="false">IF(Summary!L73="","",Summary!L73)</f>
        <v/>
      </c>
      <c r="D90" s="52" t="str">
        <f aca="false">IF(Summary!M73="","",Summary!M73)</f>
        <v/>
      </c>
      <c r="E90" s="14" t="str">
        <f aca="false">IF(OR(D90="",C90=""),"",IF(C90&gt;D90,"I",IF(C90=D90,"X","II")))</f>
        <v/>
      </c>
      <c r="F90" s="6"/>
      <c r="G90" s="53" t="n">
        <f aca="false">001_MikiZiso3!$F76</f>
        <v>0</v>
      </c>
      <c r="H90" s="53" t="n">
        <f aca="false">001_MikiZiso3!$G76</f>
        <v>1</v>
      </c>
      <c r="I90" s="54" t="str">
        <f aca="false">IF(OR(H90="",G90=""),"",IF(G90&gt;H90,"I",IF(G90=H90,"X","II")))</f>
        <v>II</v>
      </c>
      <c r="J90" s="53" t="str">
        <f aca="false">IF($E90="","",IF(I90=$E90,$E$175,0)+IF(AND($C90=G90,$D90=H90),$E$176,0))</f>
        <v/>
      </c>
      <c r="L90" s="53" t="n">
        <f aca="false">002_MikiZiso2!$F76</f>
        <v>0</v>
      </c>
      <c r="M90" s="53" t="n">
        <f aca="false">002_MikiZiso2!$G76</f>
        <v>1</v>
      </c>
      <c r="N90" s="54" t="str">
        <f aca="false">IF(OR(M90="",L90=""),"",IF(L90&gt;M90,"I",IF(L90=M90,"X","II")))</f>
        <v>II</v>
      </c>
      <c r="O90" s="53" t="str">
        <f aca="false">IF($E90="","",IF(N90=$E90,$E$175,0)+IF(AND($C90=L90,$D90=M90),$E$176,0))</f>
        <v/>
      </c>
      <c r="Q90" s="53" t="n">
        <f aca="false">003_Miki_Ziso!$F76</f>
        <v>0</v>
      </c>
      <c r="R90" s="53" t="n">
        <f aca="false">003_Miki_Ziso!$G76</f>
        <v>1</v>
      </c>
      <c r="S90" s="54" t="str">
        <f aca="false">IF(OR(R90="",Q90=""),"",IF(Q90&gt;R90,"I",IF(Q90=R90,"X","II")))</f>
        <v>II</v>
      </c>
      <c r="T90" s="53" t="str">
        <f aca="false">IF($E90="","",IF(S90=$E90,$E$175,0)+IF(AND($C90=Q90,$D90=R90),$E$176,0))</f>
        <v/>
      </c>
      <c r="V90" s="53" t="n">
        <f aca="false">004_Nir1!$F76</f>
        <v>1</v>
      </c>
      <c r="W90" s="53" t="n">
        <f aca="false">004_Nir1!$G76</f>
        <v>0</v>
      </c>
      <c r="X90" s="54" t="str">
        <f aca="false">IF(OR(W90="",V90=""),"",IF(V90&gt;W90,"I",IF(V90=W90,"X","II")))</f>
        <v>I</v>
      </c>
      <c r="Y90" s="53" t="str">
        <f aca="false">IF($E90="","",IF(X90=$E90,$E$175,0)+IF(AND($C90=V90,$D90=W90),$E$176,0))</f>
        <v/>
      </c>
      <c r="AA90" s="53" t="n">
        <f aca="false">005_Nir2!$F76</f>
        <v>3</v>
      </c>
      <c r="AB90" s="53" t="n">
        <f aca="false">005_Nir2!$G76</f>
        <v>1</v>
      </c>
      <c r="AC90" s="54" t="str">
        <f aca="false">IF(OR(AB90="",AA90=""),"",IF(AA90&gt;AB90,"I",IF(AA90=AB90,"X","II")))</f>
        <v>I</v>
      </c>
      <c r="AD90" s="53" t="str">
        <f aca="false">IF($E90="","",IF(AC90=$E90,$E$175,0)+IF(AND($C90=AA90,$D90=AB90),$E$176,0))</f>
        <v/>
      </c>
      <c r="AF90" s="53" t="n">
        <f aca="false">006_Nir3!$F76</f>
        <v>2</v>
      </c>
      <c r="AG90" s="53" t="n">
        <f aca="false">006_Nir3!$G76</f>
        <v>0</v>
      </c>
      <c r="AH90" s="54" t="str">
        <f aca="false">IF(OR(AG90="",AF90=""),"",IF(AF90&gt;AG90,"I",IF(AF90=AG90,"X","II")))</f>
        <v>I</v>
      </c>
      <c r="AI90" s="53" t="str">
        <f aca="false">IF($E90="","",IF(AH90=$E90,$E$175,0)+IF(AND($C90=AF90,$D90=AG90),$E$176,0))</f>
        <v/>
      </c>
    </row>
    <row r="91" customFormat="false" ht="14.25" hidden="false" customHeight="true" outlineLevel="0" collapsed="false">
      <c r="A91" s="6" t="n">
        <v>71</v>
      </c>
      <c r="B91" s="6" t="s">
        <v>82</v>
      </c>
      <c r="C91" s="52" t="str">
        <f aca="false">IF(Summary!L74="","",Summary!L74)</f>
        <v/>
      </c>
      <c r="D91" s="52" t="str">
        <f aca="false">IF(Summary!M74="","",Summary!M74)</f>
        <v/>
      </c>
      <c r="E91" s="14" t="str">
        <f aca="false">IF(OR(D91="",C91=""),"",IF(C91&gt;D91,"I",IF(C91=D91,"X","II")))</f>
        <v/>
      </c>
      <c r="F91" s="6"/>
      <c r="G91" s="53" t="n">
        <f aca="false">001_MikiZiso3!$F77</f>
        <v>2</v>
      </c>
      <c r="H91" s="53" t="n">
        <f aca="false">001_MikiZiso3!$G77</f>
        <v>0</v>
      </c>
      <c r="I91" s="54" t="str">
        <f aca="false">IF(OR(H91="",G91=""),"",IF(G91&gt;H91,"I",IF(G91=H91,"X","II")))</f>
        <v>I</v>
      </c>
      <c r="J91" s="53" t="str">
        <f aca="false">IF($E91="","",IF(I91=$E91,$E$175,0)+IF(AND($C91=G91,$D91=H91),$E$176,0))</f>
        <v/>
      </c>
      <c r="L91" s="53" t="n">
        <f aca="false">002_MikiZiso2!$F77</f>
        <v>2</v>
      </c>
      <c r="M91" s="53" t="n">
        <f aca="false">002_MikiZiso2!$G77</f>
        <v>0</v>
      </c>
      <c r="N91" s="54" t="str">
        <f aca="false">IF(OR(M91="",L91=""),"",IF(L91&gt;M91,"I",IF(L91=M91,"X","II")))</f>
        <v>I</v>
      </c>
      <c r="O91" s="53" t="str">
        <f aca="false">IF($E91="","",IF(N91=$E91,$E$175,0)+IF(AND($C91=L91,$D91=M91),$E$176,0))</f>
        <v/>
      </c>
      <c r="Q91" s="53" t="n">
        <f aca="false">003_Miki_Ziso!$F77</f>
        <v>2</v>
      </c>
      <c r="R91" s="53" t="n">
        <f aca="false">003_Miki_Ziso!$G77</f>
        <v>0</v>
      </c>
      <c r="S91" s="54" t="str">
        <f aca="false">IF(OR(R91="",Q91=""),"",IF(Q91&gt;R91,"I",IF(Q91=R91,"X","II")))</f>
        <v>I</v>
      </c>
      <c r="T91" s="53" t="str">
        <f aca="false">IF($E91="","",IF(S91=$E91,$E$175,0)+IF(AND($C91=Q91,$D91=R91),$E$176,0))</f>
        <v/>
      </c>
      <c r="V91" s="53" t="n">
        <f aca="false">004_Nir1!$F77</f>
        <v>1</v>
      </c>
      <c r="W91" s="53" t="n">
        <f aca="false">004_Nir1!$G77</f>
        <v>0</v>
      </c>
      <c r="X91" s="54" t="str">
        <f aca="false">IF(OR(W91="",V91=""),"",IF(V91&gt;W91,"I",IF(V91=W91,"X","II")))</f>
        <v>I</v>
      </c>
      <c r="Y91" s="53" t="str">
        <f aca="false">IF($E91="","",IF(X91=$E91,$E$175,0)+IF(AND($C91=V91,$D91=W91),$E$176,0))</f>
        <v/>
      </c>
      <c r="AA91" s="53" t="n">
        <f aca="false">005_Nir2!$F77</f>
        <v>3</v>
      </c>
      <c r="AB91" s="53" t="n">
        <f aca="false">005_Nir2!$G77</f>
        <v>3</v>
      </c>
      <c r="AC91" s="54" t="str">
        <f aca="false">IF(OR(AB91="",AA91=""),"",IF(AA91&gt;AB91,"I",IF(AA91=AB91,"X","II")))</f>
        <v>X</v>
      </c>
      <c r="AD91" s="53" t="str">
        <f aca="false">IF($E91="","",IF(AC91=$E91,$E$175,0)+IF(AND($C91=AA91,$D91=AB91),$E$176,0))</f>
        <v/>
      </c>
      <c r="AF91" s="53" t="n">
        <f aca="false">006_Nir3!$F77</f>
        <v>0</v>
      </c>
      <c r="AG91" s="53" t="n">
        <f aca="false">006_Nir3!$G77</f>
        <v>1</v>
      </c>
      <c r="AH91" s="54" t="str">
        <f aca="false">IF(OR(AG91="",AF91=""),"",IF(AF91&gt;AG91,"I",IF(AF91=AG91,"X","II")))</f>
        <v>II</v>
      </c>
      <c r="AI91" s="53" t="str">
        <f aca="false">IF($E91="","",IF(AH91=$E91,$E$175,0)+IF(AND($C91=AF91,$D91=AG91),$E$176,0))</f>
        <v/>
      </c>
    </row>
    <row r="92" customFormat="false" ht="14.25" hidden="false" customHeight="true" outlineLevel="0" collapsed="false">
      <c r="A92" s="6" t="n">
        <v>72</v>
      </c>
      <c r="B92" s="6" t="s">
        <v>83</v>
      </c>
      <c r="C92" s="52" t="str">
        <f aca="false">IF(Summary!L75="","",Summary!L75)</f>
        <v/>
      </c>
      <c r="D92" s="52" t="str">
        <f aca="false">IF(Summary!M75="","",Summary!M75)</f>
        <v/>
      </c>
      <c r="E92" s="14" t="str">
        <f aca="false">IF(OR(D92="",C92=""),"",IF(C92&gt;D92,"I",IF(C92=D92,"X","II")))</f>
        <v/>
      </c>
      <c r="F92" s="6"/>
      <c r="G92" s="53" t="n">
        <f aca="false">001_MikiZiso3!$F78</f>
        <v>0</v>
      </c>
      <c r="H92" s="53" t="n">
        <f aca="false">001_MikiZiso3!$G78</f>
        <v>0</v>
      </c>
      <c r="I92" s="54" t="str">
        <f aca="false">IF(OR(H92="",G92=""),"",IF(G92&gt;H92,"I",IF(G92=H92,"X","II")))</f>
        <v>X</v>
      </c>
      <c r="J92" s="53" t="str">
        <f aca="false">IF($E92="","",IF(I92=$E92,$E$175,0)+IF(AND($C92=G92,$D92=H92),$E$176,0))</f>
        <v/>
      </c>
      <c r="L92" s="53" t="n">
        <f aca="false">002_MikiZiso2!$F78</f>
        <v>0</v>
      </c>
      <c r="M92" s="53" t="n">
        <f aca="false">002_MikiZiso2!$G78</f>
        <v>0</v>
      </c>
      <c r="N92" s="54" t="str">
        <f aca="false">IF(OR(M92="",L92=""),"",IF(L92&gt;M92,"I",IF(L92=M92,"X","II")))</f>
        <v>X</v>
      </c>
      <c r="O92" s="53" t="str">
        <f aca="false">IF($E92="","",IF(N92=$E92,$E$175,0)+IF(AND($C92=L92,$D92=M92),$E$176,0))</f>
        <v/>
      </c>
      <c r="Q92" s="53" t="n">
        <f aca="false">003_Miki_Ziso!$F78</f>
        <v>0</v>
      </c>
      <c r="R92" s="53" t="n">
        <f aca="false">003_Miki_Ziso!$G78</f>
        <v>0</v>
      </c>
      <c r="S92" s="54" t="str">
        <f aca="false">IF(OR(R92="",Q92=""),"",IF(Q92&gt;R92,"I",IF(Q92=R92,"X","II")))</f>
        <v>X</v>
      </c>
      <c r="T92" s="53" t="str">
        <f aca="false">IF($E92="","",IF(S92=$E92,$E$175,0)+IF(AND($C92=Q92,$D92=R92),$E$176,0))</f>
        <v/>
      </c>
      <c r="V92" s="53" t="n">
        <f aca="false">004_Nir1!$F78</f>
        <v>2</v>
      </c>
      <c r="W92" s="53" t="n">
        <f aca="false">004_Nir1!$G78</f>
        <v>0</v>
      </c>
      <c r="X92" s="54" t="str">
        <f aca="false">IF(OR(W92="",V92=""),"",IF(V92&gt;W92,"I",IF(V92=W92,"X","II")))</f>
        <v>I</v>
      </c>
      <c r="Y92" s="53" t="str">
        <f aca="false">IF($E92="","",IF(X92=$E92,$E$175,0)+IF(AND($C92=V92,$D92=W92),$E$176,0))</f>
        <v/>
      </c>
      <c r="AA92" s="53" t="n">
        <f aca="false">005_Nir2!$F78</f>
        <v>3</v>
      </c>
      <c r="AB92" s="53" t="n">
        <f aca="false">005_Nir2!$G78</f>
        <v>4</v>
      </c>
      <c r="AC92" s="54" t="str">
        <f aca="false">IF(OR(AB92="",AA92=""),"",IF(AA92&gt;AB92,"I",IF(AA92=AB92,"X","II")))</f>
        <v>II</v>
      </c>
      <c r="AD92" s="53" t="str">
        <f aca="false">IF($E92="","",IF(AC92=$E92,$E$175,0)+IF(AND($C92=AA92,$D92=AB92),$E$176,0))</f>
        <v/>
      </c>
      <c r="AF92" s="53" t="n">
        <f aca="false">006_Nir3!$F78</f>
        <v>3</v>
      </c>
      <c r="AG92" s="53" t="n">
        <f aca="false">006_Nir3!$G78</f>
        <v>3</v>
      </c>
      <c r="AH92" s="54" t="str">
        <f aca="false">IF(OR(AG92="",AF92=""),"",IF(AF92&gt;AG92,"I",IF(AF92=AG92,"X","II")))</f>
        <v>X</v>
      </c>
      <c r="AI92" s="53" t="str">
        <f aca="false">IF($E92="","",IF(AH92=$E92,$E$175,0)+IF(AND($C92=AF92,$D92=AG92),$E$176,0))</f>
        <v/>
      </c>
    </row>
    <row r="93" customFormat="false" ht="14.25" hidden="false" customHeight="true" outlineLevel="0" collapsed="false">
      <c r="A93" s="6"/>
      <c r="G93" s="9" t="s">
        <v>231</v>
      </c>
      <c r="H93" s="9"/>
      <c r="I93" s="9"/>
      <c r="J93" s="54" t="n">
        <f aca="false">SUM(J21:J92)</f>
        <v>0</v>
      </c>
      <c r="L93" s="9" t="s">
        <v>231</v>
      </c>
      <c r="M93" s="9"/>
      <c r="N93" s="9"/>
      <c r="O93" s="54" t="n">
        <f aca="false">SUM(O21:O92)</f>
        <v>0</v>
      </c>
      <c r="Q93" s="9" t="s">
        <v>231</v>
      </c>
      <c r="R93" s="9"/>
      <c r="S93" s="9"/>
      <c r="T93" s="54" t="n">
        <f aca="false">SUM(T21:T92)</f>
        <v>0</v>
      </c>
      <c r="V93" s="9" t="s">
        <v>231</v>
      </c>
      <c r="W93" s="9"/>
      <c r="X93" s="9"/>
      <c r="Y93" s="54" t="n">
        <f aca="false">SUM(Y21:Y92)</f>
        <v>0</v>
      </c>
      <c r="AA93" s="9" t="s">
        <v>231</v>
      </c>
      <c r="AB93" s="9"/>
      <c r="AC93" s="9"/>
      <c r="AD93" s="54" t="n">
        <f aca="false">SUM(AD21:AD92)</f>
        <v>0</v>
      </c>
      <c r="AF93" s="9" t="s">
        <v>231</v>
      </c>
      <c r="AG93" s="9"/>
      <c r="AH93" s="9"/>
      <c r="AI93" s="54" t="n">
        <f aca="false">SUM(AI21:AI92)</f>
        <v>0</v>
      </c>
    </row>
    <row r="94" customFormat="false" ht="14.25" hidden="false" customHeight="true" outlineLevel="0" collapsed="false">
      <c r="A94" s="6"/>
      <c r="G94" s="9" t="s">
        <v>232</v>
      </c>
      <c r="H94" s="9"/>
      <c r="I94" s="9"/>
      <c r="J94" s="54" t="n">
        <f aca="false">COUNTIF(J21:J92,$E$175+$E$176)</f>
        <v>0</v>
      </c>
      <c r="L94" s="9" t="s">
        <v>232</v>
      </c>
      <c r="M94" s="9"/>
      <c r="N94" s="9"/>
      <c r="O94" s="54" t="n">
        <f aca="false">COUNTIF(O21:O92,$E$175+$E$176)</f>
        <v>0</v>
      </c>
      <c r="Q94" s="9" t="s">
        <v>232</v>
      </c>
      <c r="R94" s="9"/>
      <c r="S94" s="9"/>
      <c r="T94" s="54" t="n">
        <f aca="false">COUNTIF(T21:T92,$E$175+$E$176)</f>
        <v>0</v>
      </c>
      <c r="V94" s="9" t="s">
        <v>232</v>
      </c>
      <c r="W94" s="9"/>
      <c r="X94" s="9"/>
      <c r="Y94" s="54" t="n">
        <f aca="false">COUNTIF(Y21:Y92,$E$175+$E$176)</f>
        <v>0</v>
      </c>
      <c r="AA94" s="9" t="s">
        <v>232</v>
      </c>
      <c r="AB94" s="9"/>
      <c r="AC94" s="9"/>
      <c r="AD94" s="54" t="n">
        <f aca="false">COUNTIF(AD21:AD92,$E$175+$E$176)</f>
        <v>0</v>
      </c>
      <c r="AF94" s="9" t="s">
        <v>232</v>
      </c>
      <c r="AG94" s="9"/>
      <c r="AH94" s="9"/>
      <c r="AI94" s="54" t="n">
        <f aca="false">COUNTIF(AI21:AI92,$E$175+$E$176)</f>
        <v>0</v>
      </c>
    </row>
    <row r="95" customFormat="false" ht="14.25" hidden="false" customHeight="true" outlineLevel="0" collapsed="false">
      <c r="A95" s="6"/>
      <c r="G95" s="55"/>
      <c r="H95" s="55"/>
      <c r="I95" s="55"/>
      <c r="J95" s="55"/>
      <c r="L95" s="55"/>
      <c r="M95" s="55"/>
      <c r="N95" s="55"/>
      <c r="O95" s="55"/>
      <c r="Q95" s="55"/>
      <c r="R95" s="55"/>
      <c r="S95" s="55"/>
      <c r="T95" s="55"/>
      <c r="V95" s="55"/>
      <c r="W95" s="55"/>
      <c r="X95" s="55"/>
      <c r="Y95" s="55"/>
      <c r="AA95" s="55"/>
      <c r="AB95" s="55"/>
      <c r="AC95" s="55"/>
      <c r="AD95" s="55"/>
      <c r="AF95" s="55"/>
      <c r="AG95" s="55"/>
      <c r="AH95" s="55"/>
      <c r="AI95" s="55"/>
    </row>
    <row r="96" customFormat="false" ht="14.25" hidden="false" customHeight="true" outlineLevel="0" collapsed="false">
      <c r="A96" s="6"/>
      <c r="B96" s="56" t="s">
        <v>6</v>
      </c>
      <c r="G96" s="57" t="s">
        <v>6</v>
      </c>
      <c r="H96" s="9"/>
      <c r="I96" s="9"/>
      <c r="J96" s="54" t="n">
        <f aca="false">SUM(J97:J128)</f>
        <v>0</v>
      </c>
      <c r="L96" s="57" t="s">
        <v>6</v>
      </c>
      <c r="M96" s="9"/>
      <c r="N96" s="9"/>
      <c r="O96" s="54" t="n">
        <f aca="false">SUM(O97:O128)</f>
        <v>0</v>
      </c>
      <c r="Q96" s="57" t="s">
        <v>6</v>
      </c>
      <c r="R96" s="9"/>
      <c r="S96" s="9"/>
      <c r="T96" s="54" t="n">
        <f aca="false">SUM(T97:T128)</f>
        <v>0</v>
      </c>
      <c r="V96" s="57" t="s">
        <v>6</v>
      </c>
      <c r="W96" s="9"/>
      <c r="X96" s="9"/>
      <c r="Y96" s="54" t="n">
        <f aca="false">SUM(Y97:Y128)</f>
        <v>0</v>
      </c>
      <c r="AA96" s="57" t="s">
        <v>6</v>
      </c>
      <c r="AB96" s="9"/>
      <c r="AC96" s="9"/>
      <c r="AD96" s="54" t="n">
        <f aca="false">SUM(AD97:AD128)</f>
        <v>0</v>
      </c>
      <c r="AF96" s="57" t="s">
        <v>6</v>
      </c>
      <c r="AG96" s="9"/>
      <c r="AH96" s="9"/>
      <c r="AI96" s="54" t="n">
        <f aca="false">SUM(AI97:AI128)</f>
        <v>0</v>
      </c>
    </row>
    <row r="97" customFormat="false" ht="14.25" hidden="false" customHeight="true" outlineLevel="0" collapsed="false">
      <c r="A97" s="6"/>
      <c r="B97" s="58" t="str">
        <f aca="false">IF(Summary!P4="","",Summary!P4)</f>
        <v/>
      </c>
      <c r="G97" s="50" t="str">
        <f aca="false">001_MikiZiso3!$BL10</f>
        <v>Germany</v>
      </c>
      <c r="H97" s="9"/>
      <c r="I97" s="9"/>
      <c r="J97" s="10" t="n">
        <f aca="false">COUNTIF($B$97:$B$128,G97)*$E$177</f>
        <v>0</v>
      </c>
      <c r="L97" s="50" t="str">
        <f aca="false">002_MikiZiso2!$BL10</f>
        <v>Germany</v>
      </c>
      <c r="M97" s="9"/>
      <c r="N97" s="9"/>
      <c r="O97" s="10" t="n">
        <f aca="false">COUNTIF($B$97:$B$128,L97)*$E$177</f>
        <v>0</v>
      </c>
      <c r="Q97" s="50" t="str">
        <f aca="false">003_Miki_Ziso!$BL10</f>
        <v>Germany</v>
      </c>
      <c r="R97" s="9"/>
      <c r="S97" s="9"/>
      <c r="T97" s="10" t="n">
        <f aca="false">COUNTIF($B$97:$B$128,Q97)*$E$177</f>
        <v>0</v>
      </c>
      <c r="V97" s="50" t="str">
        <f aca="false">004_Nir1!$BL10</f>
        <v>Ecuador</v>
      </c>
      <c r="W97" s="9"/>
      <c r="X97" s="9"/>
      <c r="Y97" s="10" t="n">
        <f aca="false">COUNTIF($B$97:$B$128,V97)*$E$177</f>
        <v>0</v>
      </c>
      <c r="AA97" s="50" t="str">
        <f aca="false">005_Nir2!$BL10</f>
        <v>Germany</v>
      </c>
      <c r="AB97" s="9"/>
      <c r="AC97" s="9"/>
      <c r="AD97" s="10" t="n">
        <f aca="false">COUNTIF($B$97:$B$128,AA97)*$E$177</f>
        <v>0</v>
      </c>
      <c r="AF97" s="50" t="str">
        <f aca="false">006_Nir3!$BL10</f>
        <v>Curaçao</v>
      </c>
      <c r="AG97" s="9"/>
      <c r="AH97" s="9"/>
      <c r="AI97" s="10" t="n">
        <f aca="false">COUNTIF($B$97:$B$128,AF97)*$E$177</f>
        <v>0</v>
      </c>
    </row>
    <row r="98" customFormat="false" ht="14.25" hidden="false" customHeight="true" outlineLevel="0" collapsed="false">
      <c r="A98" s="6"/>
      <c r="B98" s="58" t="str">
        <f aca="false">IF(Summary!P5="","",Summary!P5)</f>
        <v/>
      </c>
      <c r="G98" s="50" t="str">
        <f aca="false">001_MikiZiso3!$BL11</f>
        <v>Scotland</v>
      </c>
      <c r="H98" s="9"/>
      <c r="I98" s="9"/>
      <c r="J98" s="10" t="n">
        <f aca="false">COUNTIF($B$97:$B$128,G98)*$E$177</f>
        <v>0</v>
      </c>
      <c r="L98" s="50" t="str">
        <f aca="false">002_MikiZiso2!$BL11</f>
        <v>Scotland</v>
      </c>
      <c r="M98" s="9"/>
      <c r="N98" s="9"/>
      <c r="O98" s="10" t="n">
        <f aca="false">COUNTIF($B$97:$B$128,L98)*$E$177</f>
        <v>0</v>
      </c>
      <c r="Q98" s="50" t="str">
        <f aca="false">003_Miki_Ziso!$BL11</f>
        <v>Scotland</v>
      </c>
      <c r="R98" s="9"/>
      <c r="S98" s="9"/>
      <c r="T98" s="10" t="n">
        <f aca="false">COUNTIF($B$97:$B$128,Q98)*$E$177</f>
        <v>0</v>
      </c>
      <c r="V98" s="50" t="str">
        <f aca="false">004_Nir1!$BL11</f>
        <v>Haiti</v>
      </c>
      <c r="W98" s="9"/>
      <c r="X98" s="9"/>
      <c r="Y98" s="10" t="n">
        <f aca="false">COUNTIF($B$97:$B$128,V98)*$E$177</f>
        <v>0</v>
      </c>
      <c r="AA98" s="50" t="str">
        <f aca="false">005_Nir2!$BL11</f>
        <v>Mexico</v>
      </c>
      <c r="AB98" s="9"/>
      <c r="AC98" s="9"/>
      <c r="AD98" s="10" t="n">
        <f aca="false">COUNTIF($B$97:$B$128,AA98)*$E$177</f>
        <v>0</v>
      </c>
      <c r="AF98" s="50" t="str">
        <f aca="false">006_Nir3!$BL11</f>
        <v>Netherlands</v>
      </c>
      <c r="AG98" s="9"/>
      <c r="AH98" s="9"/>
      <c r="AI98" s="10" t="n">
        <f aca="false">COUNTIF($B$97:$B$128,AF98)*$E$177</f>
        <v>0</v>
      </c>
    </row>
    <row r="99" customFormat="false" ht="14.25" hidden="false" customHeight="true" outlineLevel="0" collapsed="false">
      <c r="A99" s="6"/>
      <c r="B99" s="58" t="str">
        <f aca="false">IF(Summary!P6="","",Summary!P6)</f>
        <v/>
      </c>
      <c r="G99" s="50" t="str">
        <f aca="false">001_MikiZiso3!$BL14</f>
        <v>Norway</v>
      </c>
      <c r="H99" s="9"/>
      <c r="I99" s="9"/>
      <c r="J99" s="10" t="n">
        <f aca="false">COUNTIF($B$97:$B$128,G99)*$E$177</f>
        <v>0</v>
      </c>
      <c r="L99" s="50" t="str">
        <f aca="false">002_MikiZiso2!$BL14</f>
        <v>Norway</v>
      </c>
      <c r="M99" s="9"/>
      <c r="N99" s="9"/>
      <c r="O99" s="10" t="n">
        <f aca="false">COUNTIF($B$97:$B$128,L99)*$E$177</f>
        <v>0</v>
      </c>
      <c r="Q99" s="50" t="str">
        <f aca="false">003_Miki_Ziso!$BL14</f>
        <v>Norway</v>
      </c>
      <c r="R99" s="9"/>
      <c r="S99" s="9"/>
      <c r="T99" s="10" t="n">
        <f aca="false">COUNTIF($B$97:$B$128,Q99)*$E$177</f>
        <v>0</v>
      </c>
      <c r="V99" s="50" t="str">
        <f aca="false">004_Nir1!$BL14</f>
        <v>Norway</v>
      </c>
      <c r="W99" s="9"/>
      <c r="X99" s="9"/>
      <c r="Y99" s="10" t="n">
        <f aca="false">COUNTIF($B$97:$B$128,V99)*$E$177</f>
        <v>0</v>
      </c>
      <c r="AA99" s="50" t="str">
        <f aca="false">005_Nir2!$BL14</f>
        <v>Senegal</v>
      </c>
      <c r="AB99" s="9"/>
      <c r="AC99" s="9"/>
      <c r="AD99" s="10" t="n">
        <f aca="false">COUNTIF($B$97:$B$128,AA99)*$E$177</f>
        <v>0</v>
      </c>
      <c r="AF99" s="50" t="str">
        <f aca="false">006_Nir3!$BL14</f>
        <v>Norway</v>
      </c>
      <c r="AG99" s="9"/>
      <c r="AH99" s="9"/>
      <c r="AI99" s="10" t="n">
        <f aca="false">COUNTIF($B$97:$B$128,AF99)*$E$177</f>
        <v>0</v>
      </c>
    </row>
    <row r="100" customFormat="false" ht="14.25" hidden="false" customHeight="true" outlineLevel="0" collapsed="false">
      <c r="A100" s="6"/>
      <c r="B100" s="58" t="str">
        <f aca="false">IF(Summary!P7="","",Summary!P7)</f>
        <v/>
      </c>
      <c r="G100" s="50" t="str">
        <f aca="false">001_MikiZiso3!$BL15</f>
        <v>Australia</v>
      </c>
      <c r="H100" s="9"/>
      <c r="I100" s="9"/>
      <c r="J100" s="10" t="n">
        <f aca="false">COUNTIF($B$97:$B$128,G100)*$E$177</f>
        <v>0</v>
      </c>
      <c r="L100" s="50" t="str">
        <f aca="false">002_MikiZiso2!$BL15</f>
        <v>Australia</v>
      </c>
      <c r="M100" s="9"/>
      <c r="N100" s="9"/>
      <c r="O100" s="10" t="n">
        <f aca="false">COUNTIF($B$97:$B$128,L100)*$E$177</f>
        <v>0</v>
      </c>
      <c r="Q100" s="50" t="str">
        <f aca="false">003_Miki_Ziso!$BL15</f>
        <v>Sweden</v>
      </c>
      <c r="R100" s="9"/>
      <c r="S100" s="9"/>
      <c r="T100" s="10" t="n">
        <f aca="false">COUNTIF($B$97:$B$128,Q100)*$E$177</f>
        <v>0</v>
      </c>
      <c r="V100" s="50" t="str">
        <f aca="false">004_Nir1!$BL15</f>
        <v>Sweden</v>
      </c>
      <c r="W100" s="9"/>
      <c r="X100" s="9"/>
      <c r="Y100" s="10" t="n">
        <f aca="false">COUNTIF($B$97:$B$128,V100)*$E$177</f>
        <v>0</v>
      </c>
      <c r="AA100" s="50" t="str">
        <f aca="false">005_Nir2!$BL15</f>
        <v>Tunisia</v>
      </c>
      <c r="AB100" s="9"/>
      <c r="AC100" s="9"/>
      <c r="AD100" s="10" t="n">
        <f aca="false">COUNTIF($B$97:$B$128,AA100)*$E$177</f>
        <v>0</v>
      </c>
      <c r="AF100" s="50" t="str">
        <f aca="false">006_Nir3!$BL15</f>
        <v>Belgium</v>
      </c>
      <c r="AG100" s="9"/>
      <c r="AH100" s="9"/>
      <c r="AI100" s="10" t="n">
        <f aca="false">COUNTIF($B$97:$B$128,AF100)*$E$177</f>
        <v>0</v>
      </c>
    </row>
    <row r="101" customFormat="false" ht="14.25" hidden="false" customHeight="true" outlineLevel="0" collapsed="false">
      <c r="A101" s="6"/>
      <c r="B101" s="58" t="str">
        <f aca="false">IF(Summary!P8="","",Summary!P8)</f>
        <v/>
      </c>
      <c r="G101" s="50" t="str">
        <f aca="false">001_MikiZiso3!$BL18</f>
        <v>Korea Republic</v>
      </c>
      <c r="H101" s="9"/>
      <c r="I101" s="9"/>
      <c r="J101" s="10" t="n">
        <f aca="false">COUNTIF($B$97:$B$128,G101)*$E$177</f>
        <v>0</v>
      </c>
      <c r="L101" s="50" t="str">
        <f aca="false">002_MikiZiso2!$BL18</f>
        <v>South Africa</v>
      </c>
      <c r="M101" s="9"/>
      <c r="N101" s="9"/>
      <c r="O101" s="10" t="n">
        <f aca="false">COUNTIF($B$97:$B$128,L101)*$E$177</f>
        <v>0</v>
      </c>
      <c r="Q101" s="50" t="str">
        <f aca="false">003_Miki_Ziso!$BL18</f>
        <v>South Africa</v>
      </c>
      <c r="R101" s="9"/>
      <c r="S101" s="9"/>
      <c r="T101" s="10" t="n">
        <f aca="false">COUNTIF($B$97:$B$128,Q101)*$E$177</f>
        <v>0</v>
      </c>
      <c r="V101" s="50" t="str">
        <f aca="false">004_Nir1!$BL18</f>
        <v>South Africa</v>
      </c>
      <c r="W101" s="9"/>
      <c r="X101" s="9"/>
      <c r="Y101" s="10" t="n">
        <f aca="false">COUNTIF($B$97:$B$128,V101)*$E$177</f>
        <v>0</v>
      </c>
      <c r="AA101" s="50" t="str">
        <f aca="false">005_Nir2!$BL18</f>
        <v>South Africa</v>
      </c>
      <c r="AB101" s="9"/>
      <c r="AC101" s="9"/>
      <c r="AD101" s="10" t="n">
        <f aca="false">COUNTIF($B$97:$B$128,AA101)*$E$177</f>
        <v>0</v>
      </c>
      <c r="AF101" s="50" t="str">
        <f aca="false">006_Nir3!$BL18</f>
        <v>Mexico</v>
      </c>
      <c r="AG101" s="9"/>
      <c r="AH101" s="9"/>
      <c r="AI101" s="10" t="n">
        <f aca="false">COUNTIF($B$97:$B$128,AF101)*$E$177</f>
        <v>0</v>
      </c>
    </row>
    <row r="102" customFormat="false" ht="14.25" hidden="false" customHeight="true" outlineLevel="0" collapsed="false">
      <c r="A102" s="6"/>
      <c r="B102" s="58" t="str">
        <f aca="false">IF(Summary!P9="","",Summary!P9)</f>
        <v/>
      </c>
      <c r="G102" s="50" t="str">
        <f aca="false">001_MikiZiso3!$BL19</f>
        <v>Canada</v>
      </c>
      <c r="H102" s="9"/>
      <c r="I102" s="9"/>
      <c r="J102" s="10" t="n">
        <f aca="false">COUNTIF($B$97:$B$128,G102)*$E$177</f>
        <v>0</v>
      </c>
      <c r="L102" s="50" t="str">
        <f aca="false">002_MikiZiso2!$BL19</f>
        <v>Canada</v>
      </c>
      <c r="M102" s="9"/>
      <c r="N102" s="9"/>
      <c r="O102" s="10" t="n">
        <f aca="false">COUNTIF($B$97:$B$128,L102)*$E$177</f>
        <v>0</v>
      </c>
      <c r="Q102" s="50" t="str">
        <f aca="false">003_Miki_Ziso!$BL19</f>
        <v>Switzerland</v>
      </c>
      <c r="R102" s="9"/>
      <c r="S102" s="9"/>
      <c r="T102" s="10" t="n">
        <f aca="false">COUNTIF($B$97:$B$128,Q102)*$E$177</f>
        <v>0</v>
      </c>
      <c r="V102" s="50" t="str">
        <f aca="false">004_Nir1!$BL19</f>
        <v>Bosnia and Herzegovina</v>
      </c>
      <c r="W102" s="9"/>
      <c r="X102" s="9"/>
      <c r="Y102" s="10" t="n">
        <f aca="false">COUNTIF($B$97:$B$128,V102)*$E$177</f>
        <v>0</v>
      </c>
      <c r="AA102" s="50" t="str">
        <f aca="false">005_Nir2!$BL19</f>
        <v>Canada</v>
      </c>
      <c r="AB102" s="9"/>
      <c r="AC102" s="9"/>
      <c r="AD102" s="10" t="n">
        <f aca="false">COUNTIF($B$97:$B$128,AA102)*$E$177</f>
        <v>0</v>
      </c>
      <c r="AF102" s="50" t="str">
        <f aca="false">006_Nir3!$BL19</f>
        <v>Qatar</v>
      </c>
      <c r="AG102" s="9"/>
      <c r="AH102" s="9"/>
      <c r="AI102" s="10" t="n">
        <f aca="false">COUNTIF($B$97:$B$128,AF102)*$E$177</f>
        <v>0</v>
      </c>
    </row>
    <row r="103" customFormat="false" ht="14.25" hidden="false" customHeight="true" outlineLevel="0" collapsed="false">
      <c r="A103" s="6"/>
      <c r="B103" s="58" t="str">
        <f aca="false">IF(Summary!P10="","",Summary!P10)</f>
        <v/>
      </c>
      <c r="G103" s="50" t="str">
        <f aca="false">001_MikiZiso3!$BL22</f>
        <v>Japan</v>
      </c>
      <c r="H103" s="9"/>
      <c r="I103" s="9"/>
      <c r="J103" s="10" t="n">
        <f aca="false">COUNTIF($B$97:$B$128,G103)*$E$177</f>
        <v>0</v>
      </c>
      <c r="L103" s="50" t="str">
        <f aca="false">002_MikiZiso2!$BL22</f>
        <v>Japan</v>
      </c>
      <c r="M103" s="9"/>
      <c r="N103" s="9"/>
      <c r="O103" s="10" t="n">
        <f aca="false">COUNTIF($B$97:$B$128,L103)*$E$177</f>
        <v>0</v>
      </c>
      <c r="Q103" s="50" t="str">
        <f aca="false">003_Miki_Ziso!$BL22</f>
        <v>Japan</v>
      </c>
      <c r="R103" s="9"/>
      <c r="S103" s="9"/>
      <c r="T103" s="10" t="n">
        <f aca="false">COUNTIF($B$97:$B$128,Q103)*$E$177</f>
        <v>0</v>
      </c>
      <c r="V103" s="50" t="str">
        <f aca="false">004_Nir1!$BL22</f>
        <v>Tunisia</v>
      </c>
      <c r="W103" s="9"/>
      <c r="X103" s="9"/>
      <c r="Y103" s="10" t="n">
        <f aca="false">COUNTIF($B$97:$B$128,V103)*$E$177</f>
        <v>0</v>
      </c>
      <c r="AA103" s="50" t="str">
        <f aca="false">005_Nir2!$BL22</f>
        <v>Japan</v>
      </c>
      <c r="AB103" s="9"/>
      <c r="AC103" s="9"/>
      <c r="AD103" s="10" t="n">
        <f aca="false">COUNTIF($B$97:$B$128,AA103)*$E$177</f>
        <v>0</v>
      </c>
      <c r="AF103" s="50" t="str">
        <f aca="false">006_Nir3!$BL22</f>
        <v>Japan</v>
      </c>
      <c r="AG103" s="9"/>
      <c r="AH103" s="9"/>
      <c r="AI103" s="10" t="n">
        <f aca="false">COUNTIF($B$97:$B$128,AF103)*$E$177</f>
        <v>0</v>
      </c>
    </row>
    <row r="104" customFormat="false" ht="14.25" hidden="false" customHeight="true" outlineLevel="0" collapsed="false">
      <c r="A104" s="6"/>
      <c r="B104" s="58" t="str">
        <f aca="false">IF(Summary!P11="","",Summary!P11)</f>
        <v/>
      </c>
      <c r="G104" s="50" t="str">
        <f aca="false">001_MikiZiso3!$BL23</f>
        <v>Morocco</v>
      </c>
      <c r="H104" s="9"/>
      <c r="I104" s="9"/>
      <c r="J104" s="10" t="n">
        <f aca="false">COUNTIF($B$97:$B$128,G104)*$E$177</f>
        <v>0</v>
      </c>
      <c r="L104" s="50" t="str">
        <f aca="false">002_MikiZiso2!$BL23</f>
        <v>Brazil</v>
      </c>
      <c r="M104" s="9"/>
      <c r="N104" s="9"/>
      <c r="O104" s="10" t="n">
        <f aca="false">COUNTIF($B$97:$B$128,L104)*$E$177</f>
        <v>0</v>
      </c>
      <c r="Q104" s="50" t="str">
        <f aca="false">003_Miki_Ziso!$BL23</f>
        <v>Brazil</v>
      </c>
      <c r="R104" s="9"/>
      <c r="S104" s="9"/>
      <c r="T104" s="10" t="n">
        <f aca="false">COUNTIF($B$97:$B$128,Q104)*$E$177</f>
        <v>0</v>
      </c>
      <c r="V104" s="50" t="str">
        <f aca="false">004_Nir1!$BL23</f>
        <v>Brazil</v>
      </c>
      <c r="W104" s="9"/>
      <c r="X104" s="9"/>
      <c r="Y104" s="10" t="n">
        <f aca="false">COUNTIF($B$97:$B$128,V104)*$E$177</f>
        <v>0</v>
      </c>
      <c r="AA104" s="50" t="str">
        <f aca="false">005_Nir2!$BL23</f>
        <v>Scotland</v>
      </c>
      <c r="AB104" s="9"/>
      <c r="AC104" s="9"/>
      <c r="AD104" s="10" t="n">
        <f aca="false">COUNTIF($B$97:$B$128,AA104)*$E$177</f>
        <v>0</v>
      </c>
      <c r="AF104" s="50" t="str">
        <f aca="false">006_Nir3!$BL23</f>
        <v>Haiti</v>
      </c>
      <c r="AG104" s="9"/>
      <c r="AH104" s="9"/>
      <c r="AI104" s="10" t="n">
        <f aca="false">COUNTIF($B$97:$B$128,AF104)*$E$177</f>
        <v>0</v>
      </c>
    </row>
    <row r="105" customFormat="false" ht="14.25" hidden="false" customHeight="true" outlineLevel="0" collapsed="false">
      <c r="A105" s="6"/>
      <c r="B105" s="58" t="str">
        <f aca="false">IF(Summary!P12="","",Summary!P12)</f>
        <v/>
      </c>
      <c r="G105" s="50" t="str">
        <f aca="false">001_MikiZiso3!$BL26</f>
        <v>Portugal</v>
      </c>
      <c r="H105" s="9"/>
      <c r="I105" s="9"/>
      <c r="J105" s="10" t="n">
        <f aca="false">COUNTIF($B$97:$B$128,G105)*$E$177</f>
        <v>0</v>
      </c>
      <c r="L105" s="50" t="str">
        <f aca="false">002_MikiZiso2!$BL26</f>
        <v>Portugal</v>
      </c>
      <c r="M105" s="9"/>
      <c r="N105" s="9"/>
      <c r="O105" s="10" t="n">
        <f aca="false">COUNTIF($B$97:$B$128,L105)*$E$177</f>
        <v>0</v>
      </c>
      <c r="Q105" s="50" t="str">
        <f aca="false">003_Miki_Ziso!$BL26</f>
        <v>DR Congo</v>
      </c>
      <c r="R105" s="9"/>
      <c r="S105" s="9"/>
      <c r="T105" s="10" t="n">
        <f aca="false">COUNTIF($B$97:$B$128,Q105)*$E$177</f>
        <v>0</v>
      </c>
      <c r="V105" s="50" t="str">
        <f aca="false">004_Nir1!$BL26</f>
        <v>Portugal</v>
      </c>
      <c r="W105" s="9"/>
      <c r="X105" s="9"/>
      <c r="Y105" s="10" t="n">
        <f aca="false">COUNTIF($B$97:$B$128,V105)*$E$177</f>
        <v>0</v>
      </c>
      <c r="AA105" s="50" t="str">
        <f aca="false">005_Nir2!$BL26</f>
        <v>Colombia</v>
      </c>
      <c r="AB105" s="9"/>
      <c r="AC105" s="9"/>
      <c r="AD105" s="10" t="n">
        <f aca="false">COUNTIF($B$97:$B$128,AA105)*$E$177</f>
        <v>0</v>
      </c>
      <c r="AF105" s="50" t="str">
        <f aca="false">006_Nir3!$BL26</f>
        <v>Portugal</v>
      </c>
      <c r="AG105" s="9"/>
      <c r="AH105" s="9"/>
      <c r="AI105" s="10" t="n">
        <f aca="false">COUNTIF($B$97:$B$128,AF105)*$E$177</f>
        <v>0</v>
      </c>
    </row>
    <row r="106" customFormat="false" ht="14.25" hidden="false" customHeight="true" outlineLevel="0" collapsed="false">
      <c r="A106" s="6"/>
      <c r="B106" s="58" t="str">
        <f aca="false">IF(Summary!P13="","",Summary!P13)</f>
        <v/>
      </c>
      <c r="G106" s="50" t="str">
        <f aca="false">001_MikiZiso3!$BL27</f>
        <v>Croatia</v>
      </c>
      <c r="H106" s="9"/>
      <c r="I106" s="9"/>
      <c r="J106" s="10" t="n">
        <f aca="false">COUNTIF($B$97:$B$128,G106)*$E$177</f>
        <v>0</v>
      </c>
      <c r="L106" s="50" t="str">
        <f aca="false">002_MikiZiso2!$BL27</f>
        <v>Ghana</v>
      </c>
      <c r="M106" s="9"/>
      <c r="N106" s="9"/>
      <c r="O106" s="10" t="n">
        <f aca="false">COUNTIF($B$97:$B$128,L106)*$E$177</f>
        <v>0</v>
      </c>
      <c r="Q106" s="50" t="str">
        <f aca="false">003_Miki_Ziso!$BL27</f>
        <v>Ghana</v>
      </c>
      <c r="R106" s="9"/>
      <c r="S106" s="9"/>
      <c r="T106" s="10" t="n">
        <f aca="false">COUNTIF($B$97:$B$128,Q106)*$E$177</f>
        <v>0</v>
      </c>
      <c r="V106" s="50" t="str">
        <f aca="false">004_Nir1!$BL27</f>
        <v>Croatia</v>
      </c>
      <c r="W106" s="9"/>
      <c r="X106" s="9"/>
      <c r="Y106" s="10" t="n">
        <f aca="false">COUNTIF($B$97:$B$128,V106)*$E$177</f>
        <v>0</v>
      </c>
      <c r="AA106" s="50" t="str">
        <f aca="false">005_Nir2!$BL27</f>
        <v>Ghana</v>
      </c>
      <c r="AB106" s="9"/>
      <c r="AC106" s="9"/>
      <c r="AD106" s="10" t="n">
        <f aca="false">COUNTIF($B$97:$B$128,AA106)*$E$177</f>
        <v>0</v>
      </c>
      <c r="AF106" s="50" t="str">
        <f aca="false">006_Nir3!$BL27</f>
        <v>England</v>
      </c>
      <c r="AG106" s="9"/>
      <c r="AH106" s="9"/>
      <c r="AI106" s="10" t="n">
        <f aca="false">COUNTIF($B$97:$B$128,AF106)*$E$177</f>
        <v>0</v>
      </c>
    </row>
    <row r="107" customFormat="false" ht="14.25" hidden="false" customHeight="true" outlineLevel="0" collapsed="false">
      <c r="A107" s="6"/>
      <c r="B107" s="58" t="str">
        <f aca="false">IF(Summary!P14="","",Summary!P14)</f>
        <v/>
      </c>
      <c r="G107" s="50" t="str">
        <f aca="false">001_MikiZiso3!$BL30</f>
        <v>Spain</v>
      </c>
      <c r="H107" s="9"/>
      <c r="I107" s="9"/>
      <c r="J107" s="10" t="n">
        <f aca="false">COUNTIF($B$97:$B$128,G107)*$E$177</f>
        <v>0</v>
      </c>
      <c r="L107" s="50" t="str">
        <f aca="false">002_MikiZiso2!$BL30</f>
        <v>Spain</v>
      </c>
      <c r="M107" s="9"/>
      <c r="N107" s="9"/>
      <c r="O107" s="10" t="n">
        <f aca="false">COUNTIF($B$97:$B$128,L107)*$E$177</f>
        <v>0</v>
      </c>
      <c r="Q107" s="50" t="str">
        <f aca="false">003_Miki_Ziso!$BL30</f>
        <v>Spain</v>
      </c>
      <c r="R107" s="9"/>
      <c r="S107" s="9"/>
      <c r="T107" s="10" t="n">
        <f aca="false">COUNTIF($B$97:$B$128,Q107)*$E$177</f>
        <v>0</v>
      </c>
      <c r="V107" s="50" t="str">
        <f aca="false">004_Nir1!$BL30</f>
        <v>Uruguay</v>
      </c>
      <c r="W107" s="9"/>
      <c r="X107" s="9"/>
      <c r="Y107" s="10" t="n">
        <f aca="false">COUNTIF($B$97:$B$128,V107)*$E$177</f>
        <v>0</v>
      </c>
      <c r="AA107" s="50" t="str">
        <f aca="false">005_Nir2!$BL30</f>
        <v>Cape Verde</v>
      </c>
      <c r="AB107" s="9"/>
      <c r="AC107" s="9"/>
      <c r="AD107" s="10" t="n">
        <f aca="false">COUNTIF($B$97:$B$128,AA107)*$E$177</f>
        <v>0</v>
      </c>
      <c r="AF107" s="50" t="str">
        <f aca="false">006_Nir3!$BL30</f>
        <v>Cape Verde</v>
      </c>
      <c r="AG107" s="9"/>
      <c r="AH107" s="9"/>
      <c r="AI107" s="10" t="n">
        <f aca="false">COUNTIF($B$97:$B$128,AF107)*$E$177</f>
        <v>0</v>
      </c>
    </row>
    <row r="108" customFormat="false" ht="14.25" hidden="false" customHeight="true" outlineLevel="0" collapsed="false">
      <c r="A108" s="6"/>
      <c r="B108" s="58" t="str">
        <f aca="false">IF(Summary!P15="","",Summary!P15)</f>
        <v/>
      </c>
      <c r="G108" s="50" t="str">
        <f aca="false">001_MikiZiso3!$BL31</f>
        <v>Austria</v>
      </c>
      <c r="H108" s="9"/>
      <c r="I108" s="9"/>
      <c r="J108" s="10" t="n">
        <f aca="false">COUNTIF($B$97:$B$128,G108)*$E$177</f>
        <v>0</v>
      </c>
      <c r="L108" s="50" t="str">
        <f aca="false">002_MikiZiso2!$BL31</f>
        <v>Austria</v>
      </c>
      <c r="M108" s="9"/>
      <c r="N108" s="9"/>
      <c r="O108" s="10" t="n">
        <f aca="false">COUNTIF($B$97:$B$128,L108)*$E$177</f>
        <v>0</v>
      </c>
      <c r="Q108" s="50" t="str">
        <f aca="false">003_Miki_Ziso!$BL31</f>
        <v>Austria</v>
      </c>
      <c r="R108" s="9"/>
      <c r="S108" s="9"/>
      <c r="T108" s="10" t="n">
        <f aca="false">COUNTIF($B$97:$B$128,Q108)*$E$177</f>
        <v>0</v>
      </c>
      <c r="V108" s="50" t="str">
        <f aca="false">004_Nir1!$BL31</f>
        <v>Jordan</v>
      </c>
      <c r="W108" s="9"/>
      <c r="X108" s="9"/>
      <c r="Y108" s="10" t="n">
        <f aca="false">COUNTIF($B$97:$B$128,V108)*$E$177</f>
        <v>0</v>
      </c>
      <c r="AA108" s="50" t="str">
        <f aca="false">005_Nir2!$BL31</f>
        <v>Jordan</v>
      </c>
      <c r="AB108" s="9"/>
      <c r="AC108" s="9"/>
      <c r="AD108" s="10" t="n">
        <f aca="false">COUNTIF($B$97:$B$128,AA108)*$E$177</f>
        <v>0</v>
      </c>
      <c r="AF108" s="50" t="str">
        <f aca="false">006_Nir3!$BL31</f>
        <v>Algeria</v>
      </c>
      <c r="AG108" s="9"/>
      <c r="AH108" s="9"/>
      <c r="AI108" s="10" t="n">
        <f aca="false">COUNTIF($B$97:$B$128,AF108)*$E$177</f>
        <v>0</v>
      </c>
    </row>
    <row r="109" customFormat="false" ht="14.25" hidden="false" customHeight="true" outlineLevel="0" collapsed="false">
      <c r="A109" s="6"/>
      <c r="B109" s="58" t="str">
        <f aca="false">IF(Summary!P16="","",Summary!P16)</f>
        <v/>
      </c>
      <c r="G109" s="50" t="str">
        <f aca="false">001_MikiZiso3!$BL34</f>
        <v>United States</v>
      </c>
      <c r="H109" s="9"/>
      <c r="I109" s="9"/>
      <c r="J109" s="10" t="n">
        <f aca="false">COUNTIF($B$97:$B$128,G109)*$E$177</f>
        <v>0</v>
      </c>
      <c r="L109" s="50" t="str">
        <f aca="false">002_MikiZiso2!$BL34</f>
        <v>United States</v>
      </c>
      <c r="M109" s="9"/>
      <c r="N109" s="9"/>
      <c r="O109" s="10" t="n">
        <f aca="false">COUNTIF($B$97:$B$128,L109)*$E$177</f>
        <v>0</v>
      </c>
      <c r="Q109" s="50" t="str">
        <f aca="false">003_Miki_Ziso!$BL34</f>
        <v>Turkey</v>
      </c>
      <c r="R109" s="9"/>
      <c r="S109" s="9"/>
      <c r="T109" s="10" t="n">
        <f aca="false">COUNTIF($B$97:$B$128,Q109)*$E$177</f>
        <v>0</v>
      </c>
      <c r="V109" s="50" t="str">
        <f aca="false">004_Nir1!$BL34</f>
        <v>Australia</v>
      </c>
      <c r="W109" s="9"/>
      <c r="X109" s="9"/>
      <c r="Y109" s="10" t="n">
        <f aca="false">COUNTIF($B$97:$B$128,V109)*$E$177</f>
        <v>0</v>
      </c>
      <c r="AA109" s="50" t="str">
        <f aca="false">005_Nir2!$BL34</f>
        <v>United States</v>
      </c>
      <c r="AB109" s="9"/>
      <c r="AC109" s="9"/>
      <c r="AD109" s="10" t="n">
        <f aca="false">COUNTIF($B$97:$B$128,AA109)*$E$177</f>
        <v>0</v>
      </c>
      <c r="AF109" s="50" t="str">
        <f aca="false">006_Nir3!$BL34</f>
        <v>Australia</v>
      </c>
      <c r="AG109" s="9"/>
      <c r="AH109" s="9"/>
      <c r="AI109" s="10" t="n">
        <f aca="false">COUNTIF($B$97:$B$128,AF109)*$E$177</f>
        <v>0</v>
      </c>
    </row>
    <row r="110" customFormat="false" ht="14.25" hidden="false" customHeight="true" outlineLevel="0" collapsed="false">
      <c r="A110" s="6"/>
      <c r="B110" s="58" t="str">
        <f aca="false">IF(Summary!P17="","",Summary!P17)</f>
        <v/>
      </c>
      <c r="G110" s="50" t="str">
        <f aca="false">001_MikiZiso3!$BL35</f>
        <v>Qatar</v>
      </c>
      <c r="H110" s="9"/>
      <c r="I110" s="9"/>
      <c r="J110" s="10" t="n">
        <f aca="false">COUNTIF($B$97:$B$128,G110)*$E$177</f>
        <v>0</v>
      </c>
      <c r="L110" s="50" t="str">
        <f aca="false">002_MikiZiso2!$BL35</f>
        <v>Qatar</v>
      </c>
      <c r="M110" s="9"/>
      <c r="N110" s="9"/>
      <c r="O110" s="10" t="n">
        <f aca="false">COUNTIF($B$97:$B$128,L110)*$E$177</f>
        <v>0</v>
      </c>
      <c r="Q110" s="50" t="str">
        <f aca="false">003_Miki_Ziso!$BL35</f>
        <v>Algeria</v>
      </c>
      <c r="R110" s="9"/>
      <c r="S110" s="9"/>
      <c r="T110" s="10" t="n">
        <f aca="false">COUNTIF($B$97:$B$128,Q110)*$E$177</f>
        <v>0</v>
      </c>
      <c r="V110" s="50" t="str">
        <f aca="false">004_Nir1!$BL35</f>
        <v>Canada</v>
      </c>
      <c r="W110" s="9"/>
      <c r="X110" s="9"/>
      <c r="Y110" s="10" t="n">
        <f aca="false">COUNTIF($B$97:$B$128,V110)*$E$177</f>
        <v>0</v>
      </c>
      <c r="AA110" s="50" t="str">
        <f aca="false">005_Nir2!$BL35</f>
        <v>Qatar</v>
      </c>
      <c r="AB110" s="9"/>
      <c r="AC110" s="9"/>
      <c r="AD110" s="10" t="n">
        <f aca="false">COUNTIF($B$97:$B$128,AA110)*$E$177</f>
        <v>0</v>
      </c>
      <c r="AF110" s="50" t="str">
        <f aca="false">006_Nir3!$BL35</f>
        <v>Bosnia and Herzegovina</v>
      </c>
      <c r="AG110" s="9"/>
      <c r="AH110" s="9"/>
      <c r="AI110" s="10" t="n">
        <f aca="false">COUNTIF($B$97:$B$128,AF110)*$E$177</f>
        <v>0</v>
      </c>
    </row>
    <row r="111" customFormat="false" ht="14.25" hidden="false" customHeight="true" outlineLevel="0" collapsed="false">
      <c r="A111" s="6"/>
      <c r="B111" s="58" t="str">
        <f aca="false">IF(Summary!P18="","",Summary!P18)</f>
        <v/>
      </c>
      <c r="G111" s="50" t="str">
        <f aca="false">001_MikiZiso3!$BL38</f>
        <v>Belgium</v>
      </c>
      <c r="H111" s="9"/>
      <c r="I111" s="9"/>
      <c r="J111" s="10" t="n">
        <f aca="false">COUNTIF($B$97:$B$128,G111)*$E$177</f>
        <v>0</v>
      </c>
      <c r="L111" s="50" t="str">
        <f aca="false">002_MikiZiso2!$BL38</f>
        <v>Belgium</v>
      </c>
      <c r="M111" s="9"/>
      <c r="N111" s="9"/>
      <c r="O111" s="10" t="n">
        <f aca="false">COUNTIF($B$97:$B$128,L111)*$E$177</f>
        <v>0</v>
      </c>
      <c r="Q111" s="50" t="str">
        <f aca="false">003_Miki_Ziso!$BL38</f>
        <v>Egypt</v>
      </c>
      <c r="R111" s="9"/>
      <c r="S111" s="9"/>
      <c r="T111" s="10" t="n">
        <f aca="false">COUNTIF($B$97:$B$128,Q111)*$E$177</f>
        <v>0</v>
      </c>
      <c r="V111" s="50" t="str">
        <f aca="false">004_Nir1!$BL38</f>
        <v>Iran</v>
      </c>
      <c r="W111" s="9"/>
      <c r="X111" s="9"/>
      <c r="Y111" s="10" t="n">
        <f aca="false">COUNTIF($B$97:$B$128,V111)*$E$177</f>
        <v>0</v>
      </c>
      <c r="AA111" s="50" t="str">
        <f aca="false">005_Nir2!$BL38</f>
        <v>Egypt</v>
      </c>
      <c r="AB111" s="9"/>
      <c r="AC111" s="9"/>
      <c r="AD111" s="10" t="n">
        <f aca="false">COUNTIF($B$97:$B$128,AA111)*$E$177</f>
        <v>0</v>
      </c>
      <c r="AF111" s="50" t="str">
        <f aca="false">006_Nir3!$BL38</f>
        <v>New Zealand</v>
      </c>
      <c r="AG111" s="9"/>
      <c r="AH111" s="9"/>
      <c r="AI111" s="10" t="n">
        <f aca="false">COUNTIF($B$97:$B$128,AF111)*$E$177</f>
        <v>0</v>
      </c>
    </row>
    <row r="112" customFormat="false" ht="14.25" hidden="false" customHeight="true" outlineLevel="0" collapsed="false">
      <c r="A112" s="6"/>
      <c r="B112" s="58" t="str">
        <f aca="false">IF(Summary!P19="","",Summary!P19)</f>
        <v/>
      </c>
      <c r="G112" s="50" t="str">
        <f aca="false">001_MikiZiso3!$BL39</f>
        <v>South Africa</v>
      </c>
      <c r="H112" s="9"/>
      <c r="I112" s="9"/>
      <c r="J112" s="10" t="n">
        <f aca="false">COUNTIF($B$97:$B$128,G112)*$E$177</f>
        <v>0</v>
      </c>
      <c r="L112" s="50" t="str">
        <f aca="false">002_MikiZiso2!$BL39</f>
        <v>Czech Republic</v>
      </c>
      <c r="M112" s="9"/>
      <c r="N112" s="9"/>
      <c r="O112" s="10" t="n">
        <f aca="false">COUNTIF($B$97:$B$128,L112)*$E$177</f>
        <v>0</v>
      </c>
      <c r="Q112" s="50" t="str">
        <f aca="false">003_Miki_Ziso!$BL39</f>
        <v>Czech Republic</v>
      </c>
      <c r="R112" s="9"/>
      <c r="S112" s="9"/>
      <c r="T112" s="10" t="n">
        <f aca="false">COUNTIF($B$97:$B$128,Q112)*$E$177</f>
        <v>0</v>
      </c>
      <c r="V112" s="50" t="str">
        <f aca="false">004_Nir1!$BL39</f>
        <v>Korea Republic</v>
      </c>
      <c r="W112" s="9"/>
      <c r="X112" s="9"/>
      <c r="Y112" s="10" t="n">
        <f aca="false">COUNTIF($B$97:$B$128,V112)*$E$177</f>
        <v>0</v>
      </c>
      <c r="AA112" s="50" t="str">
        <f aca="false">005_Nir2!$BL39</f>
        <v>Norway</v>
      </c>
      <c r="AB112" s="9"/>
      <c r="AC112" s="9"/>
      <c r="AD112" s="10" t="n">
        <f aca="false">COUNTIF($B$97:$B$128,AA112)*$E$177</f>
        <v>0</v>
      </c>
      <c r="AF112" s="50" t="str">
        <f aca="false">006_Nir3!$BL39</f>
        <v>South Africa</v>
      </c>
      <c r="AG112" s="9"/>
      <c r="AH112" s="9"/>
      <c r="AI112" s="10" t="n">
        <f aca="false">COUNTIF($B$97:$B$128,AF112)*$E$177</f>
        <v>0</v>
      </c>
    </row>
    <row r="113" customFormat="false" ht="14.25" hidden="false" customHeight="true" outlineLevel="0" collapsed="false">
      <c r="A113" s="6"/>
      <c r="B113" s="58" t="str">
        <f aca="false">IF(Summary!P20="","",Summary!P20)</f>
        <v/>
      </c>
      <c r="G113" s="50" t="str">
        <f aca="false">001_MikiZiso3!$BL42</f>
        <v>Brazil</v>
      </c>
      <c r="H113" s="9"/>
      <c r="I113" s="9"/>
      <c r="J113" s="10" t="n">
        <f aca="false">COUNTIF($B$97:$B$128,G113)*$E$177</f>
        <v>0</v>
      </c>
      <c r="L113" s="50" t="str">
        <f aca="false">002_MikiZiso2!$BL42</f>
        <v>Morocco</v>
      </c>
      <c r="M113" s="9"/>
      <c r="N113" s="9"/>
      <c r="O113" s="10" t="n">
        <f aca="false">COUNTIF($B$97:$B$128,L113)*$E$177</f>
        <v>0</v>
      </c>
      <c r="Q113" s="50" t="str">
        <f aca="false">003_Miki_Ziso!$BL42</f>
        <v>Morocco</v>
      </c>
      <c r="R113" s="9"/>
      <c r="S113" s="9"/>
      <c r="T113" s="10" t="n">
        <f aca="false">COUNTIF($B$97:$B$128,Q113)*$E$177</f>
        <v>0</v>
      </c>
      <c r="V113" s="50" t="str">
        <f aca="false">004_Nir1!$BL42</f>
        <v>Scotland</v>
      </c>
      <c r="W113" s="9"/>
      <c r="X113" s="9"/>
      <c r="Y113" s="10" t="n">
        <f aca="false">COUNTIF($B$97:$B$128,V113)*$E$177</f>
        <v>0</v>
      </c>
      <c r="AA113" s="50" t="str">
        <f aca="false">005_Nir2!$BL42</f>
        <v>Brazil</v>
      </c>
      <c r="AB113" s="9"/>
      <c r="AC113" s="9"/>
      <c r="AD113" s="10" t="n">
        <f aca="false">COUNTIF($B$97:$B$128,AA113)*$E$177</f>
        <v>0</v>
      </c>
      <c r="AF113" s="50" t="str">
        <f aca="false">006_Nir3!$BL42</f>
        <v>Scotland</v>
      </c>
      <c r="AG113" s="9"/>
      <c r="AH113" s="9"/>
      <c r="AI113" s="10" t="n">
        <f aca="false">COUNTIF($B$97:$B$128,AF113)*$E$177</f>
        <v>0</v>
      </c>
    </row>
    <row r="114" customFormat="false" ht="14.25" hidden="false" customHeight="true" outlineLevel="0" collapsed="false">
      <c r="A114" s="6"/>
      <c r="B114" s="58" t="str">
        <f aca="false">IF(Summary!P21="","",Summary!P21)</f>
        <v/>
      </c>
      <c r="G114" s="50" t="str">
        <f aca="false">001_MikiZiso3!$BL43</f>
        <v>Netherlands</v>
      </c>
      <c r="H114" s="9"/>
      <c r="I114" s="9"/>
      <c r="J114" s="10" t="n">
        <f aca="false">COUNTIF($B$97:$B$128,G114)*$E$177</f>
        <v>0</v>
      </c>
      <c r="L114" s="50" t="str">
        <f aca="false">002_MikiZiso2!$BL43</f>
        <v>Netherlands</v>
      </c>
      <c r="M114" s="9"/>
      <c r="N114" s="9"/>
      <c r="O114" s="10" t="n">
        <f aca="false">COUNTIF($B$97:$B$128,L114)*$E$177</f>
        <v>0</v>
      </c>
      <c r="Q114" s="50" t="str">
        <f aca="false">003_Miki_Ziso!$BL43</f>
        <v>Netherlands</v>
      </c>
      <c r="R114" s="9"/>
      <c r="S114" s="9"/>
      <c r="T114" s="10" t="n">
        <f aca="false">COUNTIF($B$97:$B$128,Q114)*$E$177</f>
        <v>0</v>
      </c>
      <c r="V114" s="50" t="str">
        <f aca="false">004_Nir1!$BL43</f>
        <v>Japan</v>
      </c>
      <c r="W114" s="9"/>
      <c r="X114" s="9"/>
      <c r="Y114" s="10" t="n">
        <f aca="false">COUNTIF($B$97:$B$128,V114)*$E$177</f>
        <v>0</v>
      </c>
      <c r="AA114" s="50" t="str">
        <f aca="false">005_Nir2!$BL43</f>
        <v>Netherlands</v>
      </c>
      <c r="AB114" s="9"/>
      <c r="AC114" s="9"/>
      <c r="AD114" s="10" t="n">
        <f aca="false">COUNTIF($B$97:$B$128,AA114)*$E$177</f>
        <v>0</v>
      </c>
      <c r="AF114" s="50" t="str">
        <f aca="false">006_Nir3!$BL43</f>
        <v>Sweden</v>
      </c>
      <c r="AG114" s="9"/>
      <c r="AH114" s="9"/>
      <c r="AI114" s="10" t="n">
        <f aca="false">COUNTIF($B$97:$B$128,AF114)*$E$177</f>
        <v>0</v>
      </c>
    </row>
    <row r="115" customFormat="false" ht="14.25" hidden="false" customHeight="true" outlineLevel="0" collapsed="false">
      <c r="A115" s="6"/>
      <c r="B115" s="58" t="str">
        <f aca="false">IF(Summary!P22="","",Summary!P22)</f>
        <v/>
      </c>
      <c r="G115" s="50" t="str">
        <f aca="false">001_MikiZiso3!$BL46</f>
        <v>Ivory Coast</v>
      </c>
      <c r="H115" s="9"/>
      <c r="I115" s="9"/>
      <c r="J115" s="10" t="n">
        <f aca="false">COUNTIF($B$97:$B$128,G115)*$E$177</f>
        <v>0</v>
      </c>
      <c r="L115" s="50" t="str">
        <f aca="false">002_MikiZiso2!$BL46</f>
        <v>Ivory Coast</v>
      </c>
      <c r="M115" s="9"/>
      <c r="N115" s="9"/>
      <c r="O115" s="10" t="n">
        <f aca="false">COUNTIF($B$97:$B$128,L115)*$E$177</f>
        <v>0</v>
      </c>
      <c r="Q115" s="50" t="str">
        <f aca="false">003_Miki_Ziso!$BL46</f>
        <v>Ivory Coast</v>
      </c>
      <c r="R115" s="9"/>
      <c r="S115" s="9"/>
      <c r="T115" s="10" t="n">
        <f aca="false">COUNTIF($B$97:$B$128,Q115)*$E$177</f>
        <v>0</v>
      </c>
      <c r="V115" s="50" t="str">
        <f aca="false">004_Nir1!$BL46</f>
        <v>Germany</v>
      </c>
      <c r="W115" s="9"/>
      <c r="X115" s="9"/>
      <c r="Y115" s="10" t="n">
        <f aca="false">COUNTIF($B$97:$B$128,V115)*$E$177</f>
        <v>0</v>
      </c>
      <c r="AA115" s="50" t="str">
        <f aca="false">005_Nir2!$BL46</f>
        <v>Ivory Coast</v>
      </c>
      <c r="AB115" s="9"/>
      <c r="AC115" s="9"/>
      <c r="AD115" s="10" t="n">
        <f aca="false">COUNTIF($B$97:$B$128,AA115)*$E$177</f>
        <v>0</v>
      </c>
      <c r="AF115" s="50" t="str">
        <f aca="false">006_Nir3!$BL46</f>
        <v>Ecuador</v>
      </c>
      <c r="AG115" s="9"/>
      <c r="AH115" s="9"/>
      <c r="AI115" s="10" t="n">
        <f aca="false">COUNTIF($B$97:$B$128,AF115)*$E$177</f>
        <v>0</v>
      </c>
    </row>
    <row r="116" customFormat="false" ht="14.25" hidden="false" customHeight="true" outlineLevel="0" collapsed="false">
      <c r="A116" s="6"/>
      <c r="B116" s="58" t="str">
        <f aca="false">IF(Summary!P23="","",Summary!P23)</f>
        <v/>
      </c>
      <c r="G116" s="50" t="str">
        <f aca="false">001_MikiZiso3!$BL47</f>
        <v>France</v>
      </c>
      <c r="H116" s="9"/>
      <c r="I116" s="9"/>
      <c r="J116" s="10" t="n">
        <f aca="false">COUNTIF($B$97:$B$128,G116)*$E$177</f>
        <v>0</v>
      </c>
      <c r="L116" s="50" t="str">
        <f aca="false">002_MikiZiso2!$BL47</f>
        <v>France</v>
      </c>
      <c r="M116" s="9"/>
      <c r="N116" s="9"/>
      <c r="O116" s="10" t="n">
        <f aca="false">COUNTIF($B$97:$B$128,L116)*$E$177</f>
        <v>0</v>
      </c>
      <c r="Q116" s="50" t="str">
        <f aca="false">003_Miki_Ziso!$BL47</f>
        <v>Iraq</v>
      </c>
      <c r="R116" s="9"/>
      <c r="S116" s="9"/>
      <c r="T116" s="10" t="n">
        <f aca="false">COUNTIF($B$97:$B$128,Q116)*$E$177</f>
        <v>0</v>
      </c>
      <c r="V116" s="50" t="str">
        <f aca="false">004_Nir1!$BL47</f>
        <v>Iraq</v>
      </c>
      <c r="W116" s="9"/>
      <c r="X116" s="9"/>
      <c r="Y116" s="10" t="n">
        <f aca="false">COUNTIF($B$97:$B$128,V116)*$E$177</f>
        <v>0</v>
      </c>
      <c r="AA116" s="50" t="str">
        <f aca="false">005_Nir2!$BL47</f>
        <v>France</v>
      </c>
      <c r="AB116" s="9"/>
      <c r="AC116" s="9"/>
      <c r="AD116" s="10" t="n">
        <f aca="false">COUNTIF($B$97:$B$128,AA116)*$E$177</f>
        <v>0</v>
      </c>
      <c r="AF116" s="50" t="str">
        <f aca="false">006_Nir3!$BL47</f>
        <v>Senegal</v>
      </c>
      <c r="AG116" s="9"/>
      <c r="AH116" s="9"/>
      <c r="AI116" s="10" t="n">
        <f aca="false">COUNTIF($B$97:$B$128,AF116)*$E$177</f>
        <v>0</v>
      </c>
    </row>
    <row r="117" customFormat="false" ht="14.25" hidden="false" customHeight="true" outlineLevel="0" collapsed="false">
      <c r="A117" s="6"/>
      <c r="B117" s="58" t="str">
        <f aca="false">IF(Summary!P24="","",Summary!P24)</f>
        <v/>
      </c>
      <c r="G117" s="50" t="str">
        <f aca="false">001_MikiZiso3!$BL50</f>
        <v>Mexico</v>
      </c>
      <c r="H117" s="9"/>
      <c r="I117" s="9"/>
      <c r="J117" s="10" t="n">
        <f aca="false">COUNTIF($B$97:$B$128,G117)*$E$177</f>
        <v>0</v>
      </c>
      <c r="L117" s="50" t="str">
        <f aca="false">002_MikiZiso2!$BL50</f>
        <v>Mexico</v>
      </c>
      <c r="M117" s="9"/>
      <c r="N117" s="9"/>
      <c r="O117" s="10" t="n">
        <f aca="false">COUNTIF($B$97:$B$128,L117)*$E$177</f>
        <v>0</v>
      </c>
      <c r="Q117" s="50" t="str">
        <f aca="false">003_Miki_Ziso!$BL50</f>
        <v>Mexico</v>
      </c>
      <c r="R117" s="9"/>
      <c r="S117" s="9"/>
      <c r="T117" s="10" t="n">
        <f aca="false">COUNTIF($B$97:$B$128,Q117)*$E$177</f>
        <v>0</v>
      </c>
      <c r="V117" s="50" t="str">
        <f aca="false">004_Nir1!$BL50</f>
        <v>Czech Republic</v>
      </c>
      <c r="W117" s="9"/>
      <c r="X117" s="9"/>
      <c r="Y117" s="10" t="n">
        <f aca="false">COUNTIF($B$97:$B$128,V117)*$E$177</f>
        <v>0</v>
      </c>
      <c r="AA117" s="50" t="str">
        <f aca="false">005_Nir2!$BL50</f>
        <v>Korea Republic</v>
      </c>
      <c r="AB117" s="9"/>
      <c r="AC117" s="9"/>
      <c r="AD117" s="10" t="n">
        <f aca="false">COUNTIF($B$97:$B$128,AA117)*$E$177</f>
        <v>0</v>
      </c>
      <c r="AF117" s="50" t="str">
        <f aca="false">006_Nir3!$BL50</f>
        <v>Czech Republic</v>
      </c>
      <c r="AG117" s="9"/>
      <c r="AH117" s="9"/>
      <c r="AI117" s="10" t="n">
        <f aca="false">COUNTIF($B$97:$B$128,AF117)*$E$177</f>
        <v>0</v>
      </c>
    </row>
    <row r="118" customFormat="false" ht="14.25" hidden="false" customHeight="true" outlineLevel="0" collapsed="false">
      <c r="A118" s="6"/>
      <c r="B118" s="58" t="str">
        <f aca="false">IF(Summary!P25="","",Summary!P25)</f>
        <v/>
      </c>
      <c r="G118" s="50" t="str">
        <f aca="false">001_MikiZiso3!$BL51</f>
        <v>Saudi Arabia</v>
      </c>
      <c r="H118" s="9"/>
      <c r="I118" s="9"/>
      <c r="J118" s="10" t="n">
        <f aca="false">COUNTIF($B$97:$B$128,G118)*$E$177</f>
        <v>0</v>
      </c>
      <c r="L118" s="50" t="str">
        <f aca="false">002_MikiZiso2!$BL51</f>
        <v>Saudi Arabia</v>
      </c>
      <c r="M118" s="9"/>
      <c r="N118" s="9"/>
      <c r="O118" s="10" t="n">
        <f aca="false">COUNTIF($B$97:$B$128,L118)*$E$177</f>
        <v>0</v>
      </c>
      <c r="Q118" s="50" t="str">
        <f aca="false">003_Miki_Ziso!$BL51</f>
        <v>Senegal</v>
      </c>
      <c r="R118" s="9"/>
      <c r="S118" s="9"/>
      <c r="T118" s="10" t="n">
        <f aca="false">COUNTIF($B$97:$B$128,Q118)*$E$177</f>
        <v>0</v>
      </c>
      <c r="V118" s="50" t="str">
        <f aca="false">004_Nir1!$BL51</f>
        <v>Cape Verde</v>
      </c>
      <c r="W118" s="9"/>
      <c r="X118" s="9"/>
      <c r="Y118" s="10" t="n">
        <f aca="false">COUNTIF($B$97:$B$128,V118)*$E$177</f>
        <v>0</v>
      </c>
      <c r="AA118" s="50" t="str">
        <f aca="false">005_Nir2!$BL51</f>
        <v>Spain</v>
      </c>
      <c r="AB118" s="9"/>
      <c r="AC118" s="9"/>
      <c r="AD118" s="10" t="n">
        <f aca="false">COUNTIF($B$97:$B$128,AA118)*$E$177</f>
        <v>0</v>
      </c>
      <c r="AF118" s="50" t="str">
        <f aca="false">006_Nir3!$BL51</f>
        <v>Saudi Arabia</v>
      </c>
      <c r="AG118" s="9"/>
      <c r="AH118" s="9"/>
      <c r="AI118" s="10" t="n">
        <f aca="false">COUNTIF($B$97:$B$128,AF118)*$E$177</f>
        <v>0</v>
      </c>
    </row>
    <row r="119" customFormat="false" ht="14.25" hidden="false" customHeight="true" outlineLevel="0" collapsed="false">
      <c r="A119" s="6"/>
      <c r="B119" s="58" t="str">
        <f aca="false">IF(Summary!P26="","",Summary!P26)</f>
        <v/>
      </c>
      <c r="G119" s="50" t="str">
        <f aca="false">001_MikiZiso3!$BL54</f>
        <v>England</v>
      </c>
      <c r="H119" s="9"/>
      <c r="I119" s="9"/>
      <c r="J119" s="10" t="n">
        <f aca="false">COUNTIF($B$97:$B$128,G119)*$E$177</f>
        <v>0</v>
      </c>
      <c r="L119" s="50" t="str">
        <f aca="false">002_MikiZiso2!$BL54</f>
        <v>England</v>
      </c>
      <c r="M119" s="9"/>
      <c r="N119" s="9"/>
      <c r="O119" s="10" t="n">
        <f aca="false">COUNTIF($B$97:$B$128,L119)*$E$177</f>
        <v>0</v>
      </c>
      <c r="Q119" s="50" t="str">
        <f aca="false">003_Miki_Ziso!$BL54</f>
        <v>England</v>
      </c>
      <c r="R119" s="9"/>
      <c r="S119" s="9"/>
      <c r="T119" s="10" t="n">
        <f aca="false">COUNTIF($B$97:$B$128,Q119)*$E$177</f>
        <v>0</v>
      </c>
      <c r="V119" s="50" t="str">
        <f aca="false">004_Nir1!$BL54</f>
        <v>England</v>
      </c>
      <c r="W119" s="9"/>
      <c r="X119" s="9"/>
      <c r="Y119" s="10" t="n">
        <f aca="false">COUNTIF($B$97:$B$128,V119)*$E$177</f>
        <v>0</v>
      </c>
      <c r="AA119" s="50" t="str">
        <f aca="false">005_Nir2!$BL54</f>
        <v>England</v>
      </c>
      <c r="AB119" s="9"/>
      <c r="AC119" s="9"/>
      <c r="AD119" s="10" t="n">
        <f aca="false">COUNTIF($B$97:$B$128,AA119)*$E$177</f>
        <v>0</v>
      </c>
      <c r="AF119" s="50" t="str">
        <f aca="false">006_Nir3!$BL54</f>
        <v>Ghana</v>
      </c>
      <c r="AG119" s="9"/>
      <c r="AH119" s="9"/>
      <c r="AI119" s="10" t="n">
        <f aca="false">COUNTIF($B$97:$B$128,AF119)*$E$177</f>
        <v>0</v>
      </c>
    </row>
    <row r="120" customFormat="false" ht="14.25" hidden="false" customHeight="true" outlineLevel="0" collapsed="false">
      <c r="A120" s="6"/>
      <c r="B120" s="58" t="str">
        <f aca="false">IF(Summary!P27="","",Summary!P27)</f>
        <v/>
      </c>
      <c r="G120" s="50" t="str">
        <f aca="false">001_MikiZiso3!$BL55</f>
        <v>Algeria</v>
      </c>
      <c r="H120" s="9"/>
      <c r="I120" s="9"/>
      <c r="J120" s="10" t="n">
        <f aca="false">COUNTIF($B$97:$B$128,G120)*$E$177</f>
        <v>0</v>
      </c>
      <c r="L120" s="50" t="str">
        <f aca="false">002_MikiZiso2!$BL55</f>
        <v>Algeria</v>
      </c>
      <c r="M120" s="9"/>
      <c r="N120" s="9"/>
      <c r="O120" s="10" t="n">
        <f aca="false">COUNTIF($B$97:$B$128,L120)*$E$177</f>
        <v>0</v>
      </c>
      <c r="Q120" s="50" t="str">
        <f aca="false">003_Miki_Ziso!$BL55</f>
        <v>Portugal</v>
      </c>
      <c r="R120" s="9"/>
      <c r="S120" s="9"/>
      <c r="T120" s="10" t="n">
        <f aca="false">COUNTIF($B$97:$B$128,Q120)*$E$177</f>
        <v>0</v>
      </c>
      <c r="V120" s="50" t="str">
        <f aca="false">004_Nir1!$BL55</f>
        <v>Senegal</v>
      </c>
      <c r="W120" s="9"/>
      <c r="X120" s="9"/>
      <c r="Y120" s="10" t="n">
        <f aca="false">COUNTIF($B$97:$B$128,V120)*$E$177</f>
        <v>0</v>
      </c>
      <c r="AA120" s="50" t="str">
        <f aca="false">005_Nir2!$BL55</f>
        <v>Uzbekistan</v>
      </c>
      <c r="AB120" s="9"/>
      <c r="AC120" s="9"/>
      <c r="AD120" s="10" t="n">
        <f aca="false">COUNTIF($B$97:$B$128,AA120)*$E$177</f>
        <v>0</v>
      </c>
      <c r="AF120" s="50" t="str">
        <f aca="false">006_Nir3!$BL55</f>
        <v>Iraq</v>
      </c>
      <c r="AG120" s="9"/>
      <c r="AH120" s="9"/>
      <c r="AI120" s="10" t="n">
        <f aca="false">COUNTIF($B$97:$B$128,AF120)*$E$177</f>
        <v>0</v>
      </c>
    </row>
    <row r="121" customFormat="false" ht="14.25" hidden="false" customHeight="true" outlineLevel="0" collapsed="false">
      <c r="A121" s="6"/>
      <c r="B121" s="58" t="str">
        <f aca="false">IF(Summary!P28="","",Summary!P28)</f>
        <v/>
      </c>
      <c r="G121" s="50" t="str">
        <f aca="false">001_MikiZiso3!$BL58</f>
        <v>Argentina</v>
      </c>
      <c r="H121" s="9"/>
      <c r="I121" s="9"/>
      <c r="J121" s="10" t="n">
        <f aca="false">COUNTIF($B$97:$B$128,G121)*$E$177</f>
        <v>0</v>
      </c>
      <c r="L121" s="50" t="str">
        <f aca="false">002_MikiZiso2!$BL58</f>
        <v>Argentina</v>
      </c>
      <c r="M121" s="9"/>
      <c r="N121" s="9"/>
      <c r="O121" s="10" t="n">
        <f aca="false">COUNTIF($B$97:$B$128,L121)*$E$177</f>
        <v>0</v>
      </c>
      <c r="Q121" s="50" t="str">
        <f aca="false">003_Miki_Ziso!$BL58</f>
        <v>Argentina</v>
      </c>
      <c r="R121" s="9"/>
      <c r="S121" s="9"/>
      <c r="T121" s="10" t="n">
        <f aca="false">COUNTIF($B$97:$B$128,Q121)*$E$177</f>
        <v>0</v>
      </c>
      <c r="V121" s="50" t="str">
        <f aca="false">004_Nir1!$BL58</f>
        <v>Algeria</v>
      </c>
      <c r="W121" s="9"/>
      <c r="X121" s="9"/>
      <c r="Y121" s="10" t="n">
        <f aca="false">COUNTIF($B$97:$B$128,V121)*$E$177</f>
        <v>0</v>
      </c>
      <c r="AA121" s="50" t="str">
        <f aca="false">005_Nir2!$BL58</f>
        <v>Austria</v>
      </c>
      <c r="AB121" s="9"/>
      <c r="AC121" s="9"/>
      <c r="AD121" s="10" t="n">
        <f aca="false">COUNTIF($B$97:$B$128,AA121)*$E$177</f>
        <v>0</v>
      </c>
      <c r="AF121" s="50" t="str">
        <f aca="false">006_Nir3!$BL58</f>
        <v>Austria</v>
      </c>
      <c r="AG121" s="9"/>
      <c r="AH121" s="9"/>
      <c r="AI121" s="10" t="n">
        <f aca="false">COUNTIF($B$97:$B$128,AF121)*$E$177</f>
        <v>0</v>
      </c>
    </row>
    <row r="122" customFormat="false" ht="14.25" hidden="false" customHeight="true" outlineLevel="0" collapsed="false">
      <c r="A122" s="6"/>
      <c r="B122" s="58" t="str">
        <f aca="false">IF(Summary!P29="","",Summary!P29)</f>
        <v/>
      </c>
      <c r="G122" s="50" t="str">
        <f aca="false">001_MikiZiso3!$BL59</f>
        <v>Uruguay</v>
      </c>
      <c r="H122" s="9"/>
      <c r="I122" s="9"/>
      <c r="J122" s="10" t="n">
        <f aca="false">COUNTIF($B$97:$B$128,G122)*$E$177</f>
        <v>0</v>
      </c>
      <c r="L122" s="50" t="str">
        <f aca="false">002_MikiZiso2!$BL59</f>
        <v>Uruguay</v>
      </c>
      <c r="M122" s="9"/>
      <c r="N122" s="9"/>
      <c r="O122" s="10" t="n">
        <f aca="false">COUNTIF($B$97:$B$128,L122)*$E$177</f>
        <v>0</v>
      </c>
      <c r="Q122" s="50" t="str">
        <f aca="false">003_Miki_Ziso!$BL59</f>
        <v>Saudi Arabia</v>
      </c>
      <c r="R122" s="9"/>
      <c r="S122" s="9"/>
      <c r="T122" s="10" t="n">
        <f aca="false">COUNTIF($B$97:$B$128,Q122)*$E$177</f>
        <v>0</v>
      </c>
      <c r="V122" s="50" t="str">
        <f aca="false">004_Nir1!$BL59</f>
        <v>Saudi Arabia</v>
      </c>
      <c r="W122" s="9"/>
      <c r="X122" s="9"/>
      <c r="Y122" s="10" t="n">
        <f aca="false">COUNTIF($B$97:$B$128,V122)*$E$177</f>
        <v>0</v>
      </c>
      <c r="AA122" s="50" t="str">
        <f aca="false">005_Nir2!$BL59</f>
        <v>Uruguay</v>
      </c>
      <c r="AB122" s="9"/>
      <c r="AC122" s="9"/>
      <c r="AD122" s="10" t="n">
        <f aca="false">COUNTIF($B$97:$B$128,AA122)*$E$177</f>
        <v>0</v>
      </c>
      <c r="AF122" s="50" t="str">
        <f aca="false">006_Nir3!$BL59</f>
        <v>Uruguay</v>
      </c>
      <c r="AG122" s="9"/>
      <c r="AH122" s="9"/>
      <c r="AI122" s="10" t="n">
        <f aca="false">COUNTIF($B$97:$B$128,AF122)*$E$177</f>
        <v>0</v>
      </c>
    </row>
    <row r="123" customFormat="false" ht="14.25" hidden="false" customHeight="true" outlineLevel="0" collapsed="false">
      <c r="A123" s="6"/>
      <c r="B123" s="58" t="str">
        <f aca="false">IF(Summary!P30="","",Summary!P30)</f>
        <v/>
      </c>
      <c r="G123" s="50" t="str">
        <f aca="false">001_MikiZiso3!$BL62</f>
        <v>Turkey</v>
      </c>
      <c r="H123" s="9"/>
      <c r="I123" s="9"/>
      <c r="J123" s="10" t="n">
        <f aca="false">COUNTIF($B$97:$B$128,G123)*$E$177</f>
        <v>0</v>
      </c>
      <c r="L123" s="50" t="str">
        <f aca="false">002_MikiZiso2!$BL62</f>
        <v>Turkey</v>
      </c>
      <c r="M123" s="9"/>
      <c r="N123" s="9"/>
      <c r="O123" s="10" t="n">
        <f aca="false">COUNTIF($B$97:$B$128,L123)*$E$177</f>
        <v>0</v>
      </c>
      <c r="Q123" s="50" t="str">
        <f aca="false">003_Miki_Ziso!$BL62</f>
        <v>Paraguay</v>
      </c>
      <c r="R123" s="9"/>
      <c r="S123" s="9"/>
      <c r="T123" s="10" t="n">
        <f aca="false">COUNTIF($B$97:$B$128,Q123)*$E$177</f>
        <v>0</v>
      </c>
      <c r="V123" s="50" t="str">
        <f aca="false">004_Nir1!$BL62</f>
        <v>Paraguay</v>
      </c>
      <c r="W123" s="9"/>
      <c r="X123" s="9"/>
      <c r="Y123" s="10" t="n">
        <f aca="false">COUNTIF($B$97:$B$128,V123)*$E$177</f>
        <v>0</v>
      </c>
      <c r="AA123" s="50" t="str">
        <f aca="false">005_Nir2!$BL62</f>
        <v>Australia</v>
      </c>
      <c r="AB123" s="9"/>
      <c r="AC123" s="9"/>
      <c r="AD123" s="10" t="n">
        <f aca="false">COUNTIF($B$97:$B$128,AA123)*$E$177</f>
        <v>0</v>
      </c>
      <c r="AF123" s="50" t="str">
        <f aca="false">006_Nir3!$BL62</f>
        <v>Turkey</v>
      </c>
      <c r="AG123" s="9"/>
      <c r="AH123" s="9"/>
      <c r="AI123" s="10" t="n">
        <f aca="false">COUNTIF($B$97:$B$128,AF123)*$E$177</f>
        <v>0</v>
      </c>
    </row>
    <row r="124" customFormat="false" ht="14.25" hidden="false" customHeight="true" outlineLevel="0" collapsed="false">
      <c r="A124" s="6"/>
      <c r="B124" s="58" t="str">
        <f aca="false">IF(Summary!P31="","",Summary!P31)</f>
        <v/>
      </c>
      <c r="G124" s="50" t="str">
        <f aca="false">001_MikiZiso3!$BL63</f>
        <v>Egypt</v>
      </c>
      <c r="H124" s="9"/>
      <c r="I124" s="9"/>
      <c r="J124" s="10" t="n">
        <f aca="false">COUNTIF($B$97:$B$128,G124)*$E$177</f>
        <v>0</v>
      </c>
      <c r="L124" s="50" t="str">
        <f aca="false">002_MikiZiso2!$BL63</f>
        <v>Egypt</v>
      </c>
      <c r="M124" s="9"/>
      <c r="N124" s="9"/>
      <c r="O124" s="10" t="n">
        <f aca="false">COUNTIF($B$97:$B$128,L124)*$E$177</f>
        <v>0</v>
      </c>
      <c r="Q124" s="50" t="str">
        <f aca="false">003_Miki_Ziso!$BL63</f>
        <v>Belgium</v>
      </c>
      <c r="R124" s="9"/>
      <c r="S124" s="9"/>
      <c r="T124" s="10" t="n">
        <f aca="false">COUNTIF($B$97:$B$128,Q124)*$E$177</f>
        <v>0</v>
      </c>
      <c r="V124" s="50" t="str">
        <f aca="false">004_Nir1!$BL63</f>
        <v>Belgium</v>
      </c>
      <c r="W124" s="9"/>
      <c r="X124" s="9"/>
      <c r="Y124" s="10" t="n">
        <f aca="false">COUNTIF($B$97:$B$128,V124)*$E$177</f>
        <v>0</v>
      </c>
      <c r="AA124" s="50" t="str">
        <f aca="false">005_Nir2!$BL63</f>
        <v>Belgium</v>
      </c>
      <c r="AB124" s="9"/>
      <c r="AC124" s="9"/>
      <c r="AD124" s="10" t="n">
        <f aca="false">COUNTIF($B$97:$B$128,AA124)*$E$177</f>
        <v>0</v>
      </c>
      <c r="AF124" s="50" t="str">
        <f aca="false">006_Nir3!$BL63</f>
        <v>Egypt</v>
      </c>
      <c r="AG124" s="9"/>
      <c r="AH124" s="9"/>
      <c r="AI124" s="10" t="n">
        <f aca="false">COUNTIF($B$97:$B$128,AF124)*$E$177</f>
        <v>0</v>
      </c>
    </row>
    <row r="125" customFormat="false" ht="14.25" hidden="false" customHeight="true" outlineLevel="0" collapsed="false">
      <c r="A125" s="6"/>
      <c r="B125" s="58" t="str">
        <f aca="false">IF(Summary!P32="","",Summary!P32)</f>
        <v/>
      </c>
      <c r="G125" s="50" t="str">
        <f aca="false">001_MikiZiso3!$BL66</f>
        <v>Switzerland</v>
      </c>
      <c r="H125" s="9"/>
      <c r="I125" s="9"/>
      <c r="J125" s="10" t="n">
        <f aca="false">COUNTIF($B$97:$B$128,G125)*$E$177</f>
        <v>0</v>
      </c>
      <c r="L125" s="50" t="str">
        <f aca="false">002_MikiZiso2!$BL66</f>
        <v>Switzerland</v>
      </c>
      <c r="M125" s="9"/>
      <c r="N125" s="9"/>
      <c r="O125" s="10" t="n">
        <f aca="false">COUNTIF($B$97:$B$128,L125)*$E$177</f>
        <v>0</v>
      </c>
      <c r="Q125" s="50" t="str">
        <f aca="false">003_Miki_Ziso!$BL66</f>
        <v>Canada</v>
      </c>
      <c r="R125" s="9"/>
      <c r="S125" s="9"/>
      <c r="T125" s="10" t="n">
        <f aca="false">COUNTIF($B$97:$B$128,Q125)*$E$177</f>
        <v>0</v>
      </c>
      <c r="V125" s="50" t="str">
        <f aca="false">004_Nir1!$BL66</f>
        <v>Qatar</v>
      </c>
      <c r="W125" s="9"/>
      <c r="X125" s="9"/>
      <c r="Y125" s="10" t="n">
        <f aca="false">COUNTIF($B$97:$B$128,V125)*$E$177</f>
        <v>0</v>
      </c>
      <c r="AA125" s="50" t="str">
        <f aca="false">005_Nir2!$BL66</f>
        <v>Bosnia and Herzegovina</v>
      </c>
      <c r="AB125" s="9"/>
      <c r="AC125" s="9"/>
      <c r="AD125" s="10" t="n">
        <f aca="false">COUNTIF($B$97:$B$128,AA125)*$E$177</f>
        <v>0</v>
      </c>
      <c r="AF125" s="50" t="str">
        <f aca="false">006_Nir3!$BL66</f>
        <v>Canada</v>
      </c>
      <c r="AG125" s="9"/>
      <c r="AH125" s="9"/>
      <c r="AI125" s="10" t="n">
        <f aca="false">COUNTIF($B$97:$B$128,AF125)*$E$177</f>
        <v>0</v>
      </c>
    </row>
    <row r="126" customFormat="false" ht="14.25" hidden="false" customHeight="true" outlineLevel="0" collapsed="false">
      <c r="A126" s="6"/>
      <c r="B126" s="58" t="str">
        <f aca="false">IF(Summary!P33="","",Summary!P33)</f>
        <v/>
      </c>
      <c r="G126" s="50" t="str">
        <f aca="false">001_MikiZiso3!$BL67</f>
        <v>New Zealand</v>
      </c>
      <c r="H126" s="9"/>
      <c r="I126" s="9"/>
      <c r="J126" s="10" t="n">
        <f aca="false">COUNTIF($B$97:$B$128,G126)*$E$177</f>
        <v>0</v>
      </c>
      <c r="L126" s="50" t="str">
        <f aca="false">002_MikiZiso2!$BL67</f>
        <v>New Zealand</v>
      </c>
      <c r="M126" s="9"/>
      <c r="N126" s="9"/>
      <c r="O126" s="10" t="n">
        <f aca="false">COUNTIF($B$97:$B$128,L126)*$E$177</f>
        <v>0</v>
      </c>
      <c r="Q126" s="50" t="str">
        <f aca="false">003_Miki_Ziso!$BL67</f>
        <v>New Zealand</v>
      </c>
      <c r="R126" s="9"/>
      <c r="S126" s="9"/>
      <c r="T126" s="10" t="n">
        <f aca="false">COUNTIF($B$97:$B$128,Q126)*$E$177</f>
        <v>0</v>
      </c>
      <c r="V126" s="50" t="str">
        <f aca="false">004_Nir1!$BL67</f>
        <v>Austria</v>
      </c>
      <c r="W126" s="9"/>
      <c r="X126" s="9"/>
      <c r="Y126" s="10" t="n">
        <f aca="false">COUNTIF($B$97:$B$128,V126)*$E$177</f>
        <v>0</v>
      </c>
      <c r="AA126" s="50" t="str">
        <f aca="false">005_Nir2!$BL67</f>
        <v>Iran</v>
      </c>
      <c r="AB126" s="9"/>
      <c r="AC126" s="9"/>
      <c r="AD126" s="10" t="n">
        <f aca="false">COUNTIF($B$97:$B$128,AA126)*$E$177</f>
        <v>0</v>
      </c>
      <c r="AF126" s="50" t="str">
        <f aca="false">006_Nir3!$BL67</f>
        <v>Jordan</v>
      </c>
      <c r="AG126" s="9"/>
      <c r="AH126" s="9"/>
      <c r="AI126" s="10" t="n">
        <f aca="false">COUNTIF($B$97:$B$128,AF126)*$E$177</f>
        <v>0</v>
      </c>
    </row>
    <row r="127" customFormat="false" ht="14.25" hidden="false" customHeight="true" outlineLevel="0" collapsed="false">
      <c r="A127" s="6"/>
      <c r="B127" s="58" t="str">
        <f aca="false">IF(Summary!P34="","",Summary!P34)</f>
        <v/>
      </c>
      <c r="G127" s="50" t="str">
        <f aca="false">001_MikiZiso3!$BL70</f>
        <v>Colombia</v>
      </c>
      <c r="H127" s="9"/>
      <c r="I127" s="9"/>
      <c r="J127" s="10" t="n">
        <f aca="false">COUNTIF($B$97:$B$128,G127)*$E$177</f>
        <v>0</v>
      </c>
      <c r="L127" s="50" t="str">
        <f aca="false">002_MikiZiso2!$BL70</f>
        <v>Colombia</v>
      </c>
      <c r="M127" s="9"/>
      <c r="N127" s="9"/>
      <c r="O127" s="10" t="n">
        <f aca="false">COUNTIF($B$97:$B$128,L127)*$E$177</f>
        <v>0</v>
      </c>
      <c r="Q127" s="50" t="str">
        <f aca="false">003_Miki_Ziso!$BL70</f>
        <v>Colombia</v>
      </c>
      <c r="R127" s="9"/>
      <c r="S127" s="9"/>
      <c r="T127" s="10" t="n">
        <f aca="false">COUNTIF($B$97:$B$128,Q127)*$E$177</f>
        <v>0</v>
      </c>
      <c r="V127" s="50" t="str">
        <f aca="false">004_Nir1!$BL70</f>
        <v>Colombia</v>
      </c>
      <c r="W127" s="9"/>
      <c r="X127" s="9"/>
      <c r="Y127" s="10" t="n">
        <f aca="false">COUNTIF($B$97:$B$128,V127)*$E$177</f>
        <v>0</v>
      </c>
      <c r="AA127" s="50" t="str">
        <f aca="false">005_Nir2!$BL70</f>
        <v>DR Congo</v>
      </c>
      <c r="AB127" s="9"/>
      <c r="AC127" s="9"/>
      <c r="AD127" s="10" t="n">
        <f aca="false">COUNTIF($B$97:$B$128,AA127)*$E$177</f>
        <v>0</v>
      </c>
      <c r="AF127" s="50" t="str">
        <f aca="false">006_Nir3!$BL70</f>
        <v>Uzbekistan</v>
      </c>
      <c r="AG127" s="9"/>
      <c r="AH127" s="9"/>
      <c r="AI127" s="10" t="n">
        <f aca="false">COUNTIF($B$97:$B$128,AF127)*$E$177</f>
        <v>0</v>
      </c>
    </row>
    <row r="128" customFormat="false" ht="14.25" hidden="false" customHeight="true" outlineLevel="0" collapsed="false">
      <c r="A128" s="6"/>
      <c r="B128" s="58" t="str">
        <f aca="false">IF(Summary!P35="","",Summary!P35)</f>
        <v/>
      </c>
      <c r="G128" s="50" t="str">
        <f aca="false">001_MikiZiso3!$BL71</f>
        <v>Ghana</v>
      </c>
      <c r="H128" s="9"/>
      <c r="I128" s="9"/>
      <c r="J128" s="10" t="n">
        <f aca="false">COUNTIF($B$97:$B$128,G128)*$E$177</f>
        <v>0</v>
      </c>
      <c r="L128" s="50" t="str">
        <f aca="false">002_MikiZiso2!$BL71</f>
        <v>Croatia</v>
      </c>
      <c r="M128" s="9"/>
      <c r="N128" s="9"/>
      <c r="O128" s="10" t="n">
        <f aca="false">COUNTIF($B$97:$B$128,L128)*$E$177</f>
        <v>0</v>
      </c>
      <c r="Q128" s="50" t="str">
        <f aca="false">003_Miki_Ziso!$BL71</f>
        <v>Croatia</v>
      </c>
      <c r="R128" s="9"/>
      <c r="S128" s="9"/>
      <c r="T128" s="10" t="n">
        <f aca="false">COUNTIF($B$97:$B$128,Q128)*$E$177</f>
        <v>0</v>
      </c>
      <c r="V128" s="50" t="str">
        <f aca="false">004_Nir1!$BL71</f>
        <v>Turkey</v>
      </c>
      <c r="W128" s="9"/>
      <c r="X128" s="9"/>
      <c r="Y128" s="10" t="n">
        <f aca="false">COUNTIF($B$97:$B$128,V128)*$E$177</f>
        <v>0</v>
      </c>
      <c r="AA128" s="50" t="str">
        <f aca="false">005_Nir2!$BL71</f>
        <v>Panama</v>
      </c>
      <c r="AB128" s="9"/>
      <c r="AC128" s="9"/>
      <c r="AD128" s="10" t="n">
        <f aca="false">COUNTIF($B$97:$B$128,AA128)*$E$177</f>
        <v>0</v>
      </c>
      <c r="AF128" s="50" t="str">
        <f aca="false">006_Nir3!$BL71</f>
        <v>Germany</v>
      </c>
      <c r="AG128" s="9"/>
      <c r="AH128" s="9"/>
      <c r="AI128" s="10" t="n">
        <f aca="false">COUNTIF($B$97:$B$128,AF128)*$E$177</f>
        <v>0</v>
      </c>
    </row>
    <row r="129" customFormat="false" ht="14.25" hidden="false" customHeight="true" outlineLevel="0" collapsed="false">
      <c r="A129" s="6"/>
      <c r="G129" s="50"/>
      <c r="H129" s="9"/>
      <c r="I129" s="9"/>
      <c r="J129" s="9"/>
      <c r="L129" s="50"/>
      <c r="M129" s="9"/>
      <c r="N129" s="9"/>
      <c r="O129" s="9"/>
      <c r="Q129" s="50"/>
      <c r="R129" s="9"/>
      <c r="S129" s="9"/>
      <c r="T129" s="9"/>
      <c r="V129" s="50"/>
      <c r="W129" s="9"/>
      <c r="X129" s="9"/>
      <c r="Y129" s="9"/>
      <c r="AA129" s="50"/>
      <c r="AB129" s="9"/>
      <c r="AC129" s="9"/>
      <c r="AD129" s="9"/>
      <c r="AF129" s="50"/>
      <c r="AG129" s="9"/>
      <c r="AH129" s="9"/>
      <c r="AI129" s="9"/>
    </row>
    <row r="130" customFormat="false" ht="14.25" hidden="false" customHeight="true" outlineLevel="0" collapsed="false">
      <c r="A130" s="6"/>
      <c r="B130" s="56" t="s">
        <v>7</v>
      </c>
      <c r="G130" s="57" t="s">
        <v>7</v>
      </c>
      <c r="H130" s="9"/>
      <c r="I130" s="9"/>
      <c r="J130" s="51" t="n">
        <f aca="false">SUM(J131:J146)</f>
        <v>0</v>
      </c>
      <c r="L130" s="57" t="s">
        <v>7</v>
      </c>
      <c r="M130" s="9"/>
      <c r="N130" s="9"/>
      <c r="O130" s="51" t="n">
        <f aca="false">SUM(O131:O146)</f>
        <v>0</v>
      </c>
      <c r="Q130" s="57" t="s">
        <v>7</v>
      </c>
      <c r="R130" s="9"/>
      <c r="S130" s="9"/>
      <c r="T130" s="51" t="n">
        <f aca="false">SUM(T131:T146)</f>
        <v>0</v>
      </c>
      <c r="V130" s="57" t="s">
        <v>7</v>
      </c>
      <c r="W130" s="9"/>
      <c r="X130" s="9"/>
      <c r="Y130" s="51" t="n">
        <f aca="false">SUM(Y131:Y146)</f>
        <v>0</v>
      </c>
      <c r="AA130" s="57" t="s">
        <v>7</v>
      </c>
      <c r="AB130" s="9"/>
      <c r="AC130" s="9"/>
      <c r="AD130" s="51" t="n">
        <f aca="false">SUM(AD131:AD146)</f>
        <v>0</v>
      </c>
      <c r="AF130" s="57" t="s">
        <v>7</v>
      </c>
      <c r="AG130" s="9"/>
      <c r="AH130" s="9"/>
      <c r="AI130" s="51" t="n">
        <f aca="false">SUM(AI131:AI146)</f>
        <v>0</v>
      </c>
    </row>
    <row r="131" customFormat="false" ht="14.25" hidden="false" customHeight="true" outlineLevel="0" collapsed="false">
      <c r="A131" s="6"/>
      <c r="B131" s="21" t="str">
        <f aca="false">IF(Summary!R4="","",Summary!R4)</f>
        <v/>
      </c>
      <c r="G131" s="9" t="str">
        <f aca="false">001_MikiZiso3!$BS12</f>
        <v>Germany</v>
      </c>
      <c r="H131" s="9"/>
      <c r="I131" s="9"/>
      <c r="J131" s="10" t="n">
        <f aca="false">COUNTIF($B$131:$B$146,G131)*$E$178</f>
        <v>0</v>
      </c>
      <c r="L131" s="9" t="str">
        <f aca="false">002_MikiZiso2!$BS12</f>
        <v>Germany</v>
      </c>
      <c r="M131" s="9"/>
      <c r="N131" s="9"/>
      <c r="O131" s="10" t="n">
        <f aca="false">COUNTIF($B$131:$B$146,L131)*$E$178</f>
        <v>0</v>
      </c>
      <c r="Q131" s="9" t="str">
        <f aca="false">003_Miki_Ziso!$BS12</f>
        <v>Germany</v>
      </c>
      <c r="R131" s="9"/>
      <c r="S131" s="9"/>
      <c r="T131" s="10" t="n">
        <f aca="false">COUNTIF($B$131:$B$146,Q131)*$E$178</f>
        <v>0</v>
      </c>
      <c r="V131" s="9" t="str">
        <f aca="false">004_Nir1!$BS12</f>
        <v>Haiti</v>
      </c>
      <c r="W131" s="9"/>
      <c r="X131" s="9"/>
      <c r="Y131" s="10" t="n">
        <f aca="false">COUNTIF($B$131:$B$146,V131)*$E$178</f>
        <v>0</v>
      </c>
      <c r="AA131" s="9" t="str">
        <f aca="false">005_Nir2!$BS12</f>
        <v>Germany</v>
      </c>
      <c r="AB131" s="9"/>
      <c r="AC131" s="9"/>
      <c r="AD131" s="10" t="n">
        <f aca="false">COUNTIF($B$131:$B$146,AA131)*$E$178</f>
        <v>0</v>
      </c>
      <c r="AF131" s="9" t="str">
        <f aca="false">006_Nir3!$BS12</f>
        <v>Netherlands</v>
      </c>
      <c r="AG131" s="9"/>
      <c r="AH131" s="9"/>
      <c r="AI131" s="10" t="n">
        <f aca="false">COUNTIF($B$131:$B$146,AF131)*$E$178</f>
        <v>0</v>
      </c>
    </row>
    <row r="132" customFormat="false" ht="14.25" hidden="false" customHeight="true" outlineLevel="0" collapsed="false">
      <c r="A132" s="6"/>
      <c r="B132" s="21" t="str">
        <f aca="false">IF(Summary!R5="","",Summary!R5)</f>
        <v/>
      </c>
      <c r="G132" s="9" t="str">
        <f aca="false">001_MikiZiso3!$BS13</f>
        <v>Norway</v>
      </c>
      <c r="H132" s="9"/>
      <c r="I132" s="9"/>
      <c r="J132" s="10" t="n">
        <f aca="false">COUNTIF($B$131:$B$146,G132)*$E$178</f>
        <v>0</v>
      </c>
      <c r="L132" s="9" t="str">
        <f aca="false">002_MikiZiso2!$BS13</f>
        <v>Norway</v>
      </c>
      <c r="M132" s="9"/>
      <c r="N132" s="9"/>
      <c r="O132" s="10" t="n">
        <f aca="false">COUNTIF($B$131:$B$146,L132)*$E$178</f>
        <v>0</v>
      </c>
      <c r="Q132" s="9" t="str">
        <f aca="false">003_Miki_Ziso!$BS13</f>
        <v>Norway</v>
      </c>
      <c r="R132" s="9"/>
      <c r="S132" s="9"/>
      <c r="T132" s="10" t="n">
        <f aca="false">COUNTIF($B$131:$B$146,Q132)*$E$178</f>
        <v>0</v>
      </c>
      <c r="V132" s="9" t="str">
        <f aca="false">004_Nir1!$BS13</f>
        <v>Norway</v>
      </c>
      <c r="W132" s="9"/>
      <c r="X132" s="9"/>
      <c r="Y132" s="10" t="n">
        <f aca="false">COUNTIF($B$131:$B$146,V132)*$E$178</f>
        <v>0</v>
      </c>
      <c r="AA132" s="9" t="str">
        <f aca="false">005_Nir2!$BS13</f>
        <v>Tunisia</v>
      </c>
      <c r="AB132" s="9"/>
      <c r="AC132" s="9"/>
      <c r="AD132" s="10" t="n">
        <f aca="false">COUNTIF($B$131:$B$146,AA132)*$E$178</f>
        <v>0</v>
      </c>
      <c r="AF132" s="9" t="str">
        <f aca="false">006_Nir3!$BS13</f>
        <v>Belgium</v>
      </c>
      <c r="AG132" s="9"/>
      <c r="AH132" s="9"/>
      <c r="AI132" s="10" t="n">
        <f aca="false">COUNTIF($B$131:$B$146,AF132)*$E$178</f>
        <v>0</v>
      </c>
    </row>
    <row r="133" customFormat="false" ht="14.25" hidden="false" customHeight="true" outlineLevel="0" collapsed="false">
      <c r="A133" s="6"/>
      <c r="B133" s="21" t="str">
        <f aca="false">IF(Summary!R6="","",Summary!R6)</f>
        <v/>
      </c>
      <c r="G133" s="9" t="str">
        <f aca="false">001_MikiZiso3!$BS20</f>
        <v>Korea Republic</v>
      </c>
      <c r="H133" s="9"/>
      <c r="I133" s="9"/>
      <c r="J133" s="10" t="n">
        <f aca="false">COUNTIF($B$131:$B$146,G133)*$E$178</f>
        <v>0</v>
      </c>
      <c r="L133" s="9" t="str">
        <f aca="false">002_MikiZiso2!$BS20</f>
        <v>South Africa</v>
      </c>
      <c r="M133" s="9"/>
      <c r="N133" s="9"/>
      <c r="O133" s="10" t="n">
        <f aca="false">COUNTIF($B$131:$B$146,L133)*$E$178</f>
        <v>0</v>
      </c>
      <c r="Q133" s="9" t="str">
        <f aca="false">003_Miki_Ziso!$BS20</f>
        <v>Switzerland</v>
      </c>
      <c r="R133" s="9"/>
      <c r="S133" s="9"/>
      <c r="T133" s="10" t="n">
        <f aca="false">COUNTIF($B$131:$B$146,Q133)*$E$178</f>
        <v>0</v>
      </c>
      <c r="V133" s="9" t="str">
        <f aca="false">004_Nir1!$BS20</f>
        <v>South Africa</v>
      </c>
      <c r="W133" s="9"/>
      <c r="X133" s="9"/>
      <c r="Y133" s="10" t="n">
        <f aca="false">COUNTIF($B$131:$B$146,V133)*$E$178</f>
        <v>0</v>
      </c>
      <c r="AA133" s="9" t="str">
        <f aca="false">005_Nir2!$BS20</f>
        <v>Canada</v>
      </c>
      <c r="AB133" s="9"/>
      <c r="AC133" s="9"/>
      <c r="AD133" s="10" t="n">
        <f aca="false">COUNTIF($B$131:$B$146,AA133)*$E$178</f>
        <v>0</v>
      </c>
      <c r="AF133" s="9" t="str">
        <f aca="false">006_Nir3!$BS20</f>
        <v>Mexico</v>
      </c>
      <c r="AG133" s="9"/>
      <c r="AH133" s="9"/>
      <c r="AI133" s="10" t="n">
        <f aca="false">COUNTIF($B$131:$B$146,AF133)*$E$178</f>
        <v>0</v>
      </c>
    </row>
    <row r="134" customFormat="false" ht="14.25" hidden="false" customHeight="true" outlineLevel="0" collapsed="false">
      <c r="B134" s="21" t="str">
        <f aca="false">IF(Summary!R7="","",Summary!R7)</f>
        <v/>
      </c>
      <c r="G134" s="9" t="str">
        <f aca="false">001_MikiZiso3!$BS21</f>
        <v>Japan</v>
      </c>
      <c r="H134" s="55"/>
      <c r="I134" s="55"/>
      <c r="J134" s="10" t="n">
        <f aca="false">COUNTIF($B$131:$B$146,G134)*$E$178</f>
        <v>0</v>
      </c>
      <c r="L134" s="9" t="str">
        <f aca="false">002_MikiZiso2!$BS21</f>
        <v>Brazil</v>
      </c>
      <c r="M134" s="55"/>
      <c r="N134" s="55"/>
      <c r="O134" s="10" t="n">
        <f aca="false">COUNTIF($B$131:$B$146,L134)*$E$178</f>
        <v>0</v>
      </c>
      <c r="Q134" s="9" t="str">
        <f aca="false">003_Miki_Ziso!$BS21</f>
        <v>Brazil</v>
      </c>
      <c r="R134" s="55"/>
      <c r="S134" s="55"/>
      <c r="T134" s="10" t="n">
        <f aca="false">COUNTIF($B$131:$B$146,Q134)*$E$178</f>
        <v>0</v>
      </c>
      <c r="V134" s="9" t="str">
        <f aca="false">004_Nir1!$BS21</f>
        <v>Brazil</v>
      </c>
      <c r="W134" s="55"/>
      <c r="X134" s="55"/>
      <c r="Y134" s="10" t="n">
        <f aca="false">COUNTIF($B$131:$B$146,V134)*$E$178</f>
        <v>0</v>
      </c>
      <c r="AA134" s="9" t="str">
        <f aca="false">005_Nir2!$BS21</f>
        <v>Scotland</v>
      </c>
      <c r="AB134" s="55"/>
      <c r="AC134" s="55"/>
      <c r="AD134" s="10" t="n">
        <f aca="false">COUNTIF($B$131:$B$146,AA134)*$E$178</f>
        <v>0</v>
      </c>
      <c r="AF134" s="9" t="str">
        <f aca="false">006_Nir3!$BS21</f>
        <v>Haiti</v>
      </c>
      <c r="AG134" s="55"/>
      <c r="AH134" s="55"/>
      <c r="AI134" s="10" t="n">
        <f aca="false">COUNTIF($B$131:$B$146,AF134)*$E$178</f>
        <v>0</v>
      </c>
    </row>
    <row r="135" customFormat="false" ht="14.25" hidden="false" customHeight="true" outlineLevel="0" collapsed="false">
      <c r="B135" s="21" t="str">
        <f aca="false">IF(Summary!R8="","",Summary!R8)</f>
        <v/>
      </c>
      <c r="G135" s="9" t="str">
        <f aca="false">001_MikiZiso3!$BS28</f>
        <v>Portugal</v>
      </c>
      <c r="H135" s="55"/>
      <c r="I135" s="55"/>
      <c r="J135" s="10" t="n">
        <f aca="false">COUNTIF($B$131:$B$146,G135)*$E$178</f>
        <v>0</v>
      </c>
      <c r="L135" s="9" t="str">
        <f aca="false">002_MikiZiso2!$BS28</f>
        <v>Portugal</v>
      </c>
      <c r="M135" s="55"/>
      <c r="N135" s="55"/>
      <c r="O135" s="10" t="n">
        <f aca="false">COUNTIF($B$131:$B$146,L135)*$E$178</f>
        <v>0</v>
      </c>
      <c r="Q135" s="9" t="str">
        <f aca="false">003_Miki_Ziso!$BS28</f>
        <v>Ghana</v>
      </c>
      <c r="R135" s="55"/>
      <c r="S135" s="55"/>
      <c r="T135" s="10" t="n">
        <f aca="false">COUNTIF($B$131:$B$146,Q135)*$E$178</f>
        <v>0</v>
      </c>
      <c r="V135" s="9" t="str">
        <f aca="false">004_Nir1!$BS28</f>
        <v>Portugal</v>
      </c>
      <c r="W135" s="55"/>
      <c r="X135" s="55"/>
      <c r="Y135" s="10" t="n">
        <f aca="false">COUNTIF($B$131:$B$146,V135)*$E$178</f>
        <v>0</v>
      </c>
      <c r="AA135" s="9" t="str">
        <f aca="false">005_Nir2!$BS28</f>
        <v>Ghana</v>
      </c>
      <c r="AB135" s="55"/>
      <c r="AC135" s="55"/>
      <c r="AD135" s="10" t="n">
        <f aca="false">COUNTIF($B$131:$B$146,AA135)*$E$178</f>
        <v>0</v>
      </c>
      <c r="AF135" s="9" t="str">
        <f aca="false">006_Nir3!$BS28</f>
        <v>England</v>
      </c>
      <c r="AG135" s="55"/>
      <c r="AH135" s="55"/>
      <c r="AI135" s="10" t="n">
        <f aca="false">COUNTIF($B$131:$B$146,AF135)*$E$178</f>
        <v>0</v>
      </c>
    </row>
    <row r="136" customFormat="false" ht="14.25" hidden="false" customHeight="true" outlineLevel="0" collapsed="false">
      <c r="B136" s="21" t="str">
        <f aca="false">IF(Summary!R9="","",Summary!R9)</f>
        <v/>
      </c>
      <c r="G136" s="9" t="str">
        <f aca="false">001_MikiZiso3!$BS29</f>
        <v>Austria</v>
      </c>
      <c r="H136" s="55"/>
      <c r="I136" s="55"/>
      <c r="J136" s="10" t="n">
        <f aca="false">COUNTIF($B$131:$B$146,G136)*$E$178</f>
        <v>0</v>
      </c>
      <c r="L136" s="9" t="str">
        <f aca="false">002_MikiZiso2!$BS29</f>
        <v>Austria</v>
      </c>
      <c r="M136" s="55"/>
      <c r="N136" s="55"/>
      <c r="O136" s="10" t="n">
        <f aca="false">COUNTIF($B$131:$B$146,L136)*$E$178</f>
        <v>0</v>
      </c>
      <c r="Q136" s="9" t="str">
        <f aca="false">003_Miki_Ziso!$BS29</f>
        <v>Spain</v>
      </c>
      <c r="R136" s="55"/>
      <c r="S136" s="55"/>
      <c r="T136" s="10" t="n">
        <f aca="false">COUNTIF($B$131:$B$146,Q136)*$E$178</f>
        <v>0</v>
      </c>
      <c r="V136" s="9" t="str">
        <f aca="false">004_Nir1!$BS29</f>
        <v>Jordan</v>
      </c>
      <c r="W136" s="55"/>
      <c r="X136" s="55"/>
      <c r="Y136" s="10" t="n">
        <f aca="false">COUNTIF($B$131:$B$146,V136)*$E$178</f>
        <v>0</v>
      </c>
      <c r="AA136" s="9" t="str">
        <f aca="false">005_Nir2!$BS29</f>
        <v>Jordan</v>
      </c>
      <c r="AB136" s="55"/>
      <c r="AC136" s="55"/>
      <c r="AD136" s="10" t="n">
        <f aca="false">COUNTIF($B$131:$B$146,AA136)*$E$178</f>
        <v>0</v>
      </c>
      <c r="AF136" s="9" t="str">
        <f aca="false">006_Nir3!$BS29</f>
        <v>Algeria</v>
      </c>
      <c r="AG136" s="55"/>
      <c r="AH136" s="55"/>
      <c r="AI136" s="10" t="n">
        <f aca="false">COUNTIF($B$131:$B$146,AF136)*$E$178</f>
        <v>0</v>
      </c>
    </row>
    <row r="137" customFormat="false" ht="14.25" hidden="false" customHeight="true" outlineLevel="0" collapsed="false">
      <c r="B137" s="21" t="str">
        <f aca="false">IF(Summary!R10="","",Summary!R10)</f>
        <v/>
      </c>
      <c r="G137" s="9" t="str">
        <f aca="false">001_MikiZiso3!$BS36</f>
        <v>United States</v>
      </c>
      <c r="H137" s="55"/>
      <c r="I137" s="55"/>
      <c r="J137" s="10" t="n">
        <f aca="false">COUNTIF($B$131:$B$146,G137)*$E$178</f>
        <v>0</v>
      </c>
      <c r="L137" s="9" t="str">
        <f aca="false">002_MikiZiso2!$BS36</f>
        <v>United States</v>
      </c>
      <c r="M137" s="55"/>
      <c r="N137" s="55"/>
      <c r="O137" s="10" t="n">
        <f aca="false">COUNTIF($B$131:$B$146,L137)*$E$178</f>
        <v>0</v>
      </c>
      <c r="Q137" s="9" t="str">
        <f aca="false">003_Miki_Ziso!$BS36</f>
        <v>Turkey</v>
      </c>
      <c r="R137" s="55"/>
      <c r="S137" s="55"/>
      <c r="T137" s="10" t="n">
        <f aca="false">COUNTIF($B$131:$B$146,Q137)*$E$178</f>
        <v>0</v>
      </c>
      <c r="V137" s="9" t="str">
        <f aca="false">004_Nir1!$BS36</f>
        <v>Canada</v>
      </c>
      <c r="W137" s="55"/>
      <c r="X137" s="55"/>
      <c r="Y137" s="10" t="n">
        <f aca="false">COUNTIF($B$131:$B$146,V137)*$E$178</f>
        <v>0</v>
      </c>
      <c r="AA137" s="9" t="str">
        <f aca="false">005_Nir2!$BS36</f>
        <v>Qatar</v>
      </c>
      <c r="AB137" s="55"/>
      <c r="AC137" s="55"/>
      <c r="AD137" s="10" t="n">
        <f aca="false">COUNTIF($B$131:$B$146,AA137)*$E$178</f>
        <v>0</v>
      </c>
      <c r="AF137" s="9" t="str">
        <f aca="false">006_Nir3!$BS36</f>
        <v>Bosnia and Herzegovina</v>
      </c>
      <c r="AG137" s="55"/>
      <c r="AH137" s="55"/>
      <c r="AI137" s="10" t="n">
        <f aca="false">COUNTIF($B$131:$B$146,AF137)*$E$178</f>
        <v>0</v>
      </c>
    </row>
    <row r="138" customFormat="false" ht="14.25" hidden="false" customHeight="true" outlineLevel="0" collapsed="false">
      <c r="B138" s="21" t="str">
        <f aca="false">IF(Summary!R11="","",Summary!R11)</f>
        <v/>
      </c>
      <c r="G138" s="9" t="str">
        <f aca="false">001_MikiZiso3!$BS37</f>
        <v>South Africa</v>
      </c>
      <c r="H138" s="55"/>
      <c r="I138" s="55"/>
      <c r="J138" s="10" t="n">
        <f aca="false">COUNTIF($B$131:$B$146,G138)*$E$178</f>
        <v>0</v>
      </c>
      <c r="L138" s="9" t="str">
        <f aca="false">002_MikiZiso2!$BS37</f>
        <v>Czech Republic</v>
      </c>
      <c r="M138" s="55"/>
      <c r="N138" s="55"/>
      <c r="O138" s="10" t="n">
        <f aca="false">COUNTIF($B$131:$B$146,L138)*$E$178</f>
        <v>0</v>
      </c>
      <c r="Q138" s="9" t="str">
        <f aca="false">003_Miki_Ziso!$BS37</f>
        <v>Czech Republic</v>
      </c>
      <c r="R138" s="55"/>
      <c r="S138" s="55"/>
      <c r="T138" s="10" t="n">
        <f aca="false">COUNTIF($B$131:$B$146,Q138)*$E$178</f>
        <v>0</v>
      </c>
      <c r="V138" s="9" t="str">
        <f aca="false">004_Nir1!$BS37</f>
        <v>Iran</v>
      </c>
      <c r="W138" s="55"/>
      <c r="X138" s="55"/>
      <c r="Y138" s="10" t="n">
        <f aca="false">COUNTIF($B$131:$B$146,V138)*$E$178</f>
        <v>0</v>
      </c>
      <c r="AA138" s="9" t="str">
        <f aca="false">005_Nir2!$BS37</f>
        <v>Norway</v>
      </c>
      <c r="AB138" s="55"/>
      <c r="AC138" s="55"/>
      <c r="AD138" s="10" t="n">
        <f aca="false">COUNTIF($B$131:$B$146,AA138)*$E$178</f>
        <v>0</v>
      </c>
      <c r="AF138" s="9" t="str">
        <f aca="false">006_Nir3!$BS37</f>
        <v>New Zealand</v>
      </c>
      <c r="AG138" s="55"/>
      <c r="AH138" s="55"/>
      <c r="AI138" s="10" t="n">
        <f aca="false">COUNTIF($B$131:$B$146,AF138)*$E$178</f>
        <v>0</v>
      </c>
    </row>
    <row r="139" customFormat="false" ht="14.25" hidden="false" customHeight="true" outlineLevel="0" collapsed="false">
      <c r="B139" s="21" t="str">
        <f aca="false">IF(Summary!R12="","",Summary!R12)</f>
        <v/>
      </c>
      <c r="G139" s="9" t="str">
        <f aca="false">001_MikiZiso3!$BS44</f>
        <v>Netherlands</v>
      </c>
      <c r="H139" s="55"/>
      <c r="I139" s="55"/>
      <c r="J139" s="10" t="n">
        <f aca="false">COUNTIF($B$131:$B$146,G139)*$E$178</f>
        <v>0</v>
      </c>
      <c r="L139" s="9" t="str">
        <f aca="false">002_MikiZiso2!$BS44</f>
        <v>Netherlands</v>
      </c>
      <c r="M139" s="55"/>
      <c r="N139" s="55"/>
      <c r="O139" s="10" t="n">
        <f aca="false">COUNTIF($B$131:$B$146,L139)*$E$178</f>
        <v>0</v>
      </c>
      <c r="Q139" s="9" t="str">
        <f aca="false">003_Miki_Ziso!$BS44</f>
        <v>Morocco</v>
      </c>
      <c r="R139" s="55"/>
      <c r="S139" s="55"/>
      <c r="T139" s="10" t="n">
        <f aca="false">COUNTIF($B$131:$B$146,Q139)*$E$178</f>
        <v>0</v>
      </c>
      <c r="V139" s="9" t="str">
        <f aca="false">004_Nir1!$BS44</f>
        <v>Scotland</v>
      </c>
      <c r="W139" s="55"/>
      <c r="X139" s="55"/>
      <c r="Y139" s="10" t="n">
        <f aca="false">COUNTIF($B$131:$B$146,V139)*$E$178</f>
        <v>0</v>
      </c>
      <c r="AA139" s="9" t="str">
        <f aca="false">005_Nir2!$BS44</f>
        <v>Netherlands</v>
      </c>
      <c r="AB139" s="55"/>
      <c r="AC139" s="55"/>
      <c r="AD139" s="10" t="n">
        <f aca="false">COUNTIF($B$131:$B$146,AA139)*$E$178</f>
        <v>0</v>
      </c>
      <c r="AF139" s="9" t="str">
        <f aca="false">006_Nir3!$BS44</f>
        <v>Scotland</v>
      </c>
      <c r="AG139" s="55"/>
      <c r="AH139" s="55"/>
      <c r="AI139" s="10" t="n">
        <f aca="false">COUNTIF($B$131:$B$146,AF139)*$E$178</f>
        <v>0</v>
      </c>
    </row>
    <row r="140" customFormat="false" ht="14.25" hidden="false" customHeight="true" outlineLevel="0" collapsed="false">
      <c r="B140" s="21" t="str">
        <f aca="false">IF(Summary!R13="","",Summary!R13)</f>
        <v/>
      </c>
      <c r="G140" s="9" t="str">
        <f aca="false">001_MikiZiso3!$BS45</f>
        <v>France</v>
      </c>
      <c r="H140" s="55"/>
      <c r="I140" s="55"/>
      <c r="J140" s="10" t="n">
        <f aca="false">COUNTIF($B$131:$B$146,G140)*$E$178</f>
        <v>0</v>
      </c>
      <c r="L140" s="9" t="str">
        <f aca="false">002_MikiZiso2!$BS45</f>
        <v>France</v>
      </c>
      <c r="M140" s="55"/>
      <c r="N140" s="55"/>
      <c r="O140" s="10" t="n">
        <f aca="false">COUNTIF($B$131:$B$146,L140)*$E$178</f>
        <v>0</v>
      </c>
      <c r="Q140" s="9" t="str">
        <f aca="false">003_Miki_Ziso!$BS45</f>
        <v>Ivory Coast</v>
      </c>
      <c r="R140" s="55"/>
      <c r="S140" s="55"/>
      <c r="T140" s="10" t="n">
        <f aca="false">COUNTIF($B$131:$B$146,Q140)*$E$178</f>
        <v>0</v>
      </c>
      <c r="V140" s="9" t="str">
        <f aca="false">004_Nir1!$BS45</f>
        <v>Germany</v>
      </c>
      <c r="W140" s="55"/>
      <c r="X140" s="55"/>
      <c r="Y140" s="10" t="n">
        <f aca="false">COUNTIF($B$131:$B$146,V140)*$E$178</f>
        <v>0</v>
      </c>
      <c r="AA140" s="9" t="str">
        <f aca="false">005_Nir2!$BS45</f>
        <v>Ivory Coast</v>
      </c>
      <c r="AB140" s="55"/>
      <c r="AC140" s="55"/>
      <c r="AD140" s="10" t="n">
        <f aca="false">COUNTIF($B$131:$B$146,AA140)*$E$178</f>
        <v>0</v>
      </c>
      <c r="AF140" s="9" t="str">
        <f aca="false">006_Nir3!$BS45</f>
        <v>Ecuador</v>
      </c>
      <c r="AG140" s="55"/>
      <c r="AH140" s="55"/>
      <c r="AI140" s="10" t="n">
        <f aca="false">COUNTIF($B$131:$B$146,AF140)*$E$178</f>
        <v>0</v>
      </c>
    </row>
    <row r="141" customFormat="false" ht="14.25" hidden="false" customHeight="true" outlineLevel="0" collapsed="false">
      <c r="B141" s="21" t="str">
        <f aca="false">IF(Summary!R14="","",Summary!R14)</f>
        <v/>
      </c>
      <c r="G141" s="9" t="str">
        <f aca="false">001_MikiZiso3!$BS52</f>
        <v>Mexico</v>
      </c>
      <c r="H141" s="55"/>
      <c r="I141" s="55"/>
      <c r="J141" s="10" t="n">
        <f aca="false">COUNTIF($B$131:$B$146,G141)*$E$178</f>
        <v>0</v>
      </c>
      <c r="L141" s="9" t="str">
        <f aca="false">002_MikiZiso2!$BS52</f>
        <v>Mexico</v>
      </c>
      <c r="M141" s="55"/>
      <c r="N141" s="55"/>
      <c r="O141" s="10" t="n">
        <f aca="false">COUNTIF($B$131:$B$146,L141)*$E$178</f>
        <v>0</v>
      </c>
      <c r="Q141" s="9" t="str">
        <f aca="false">003_Miki_Ziso!$BS52</f>
        <v>Mexico</v>
      </c>
      <c r="R141" s="55"/>
      <c r="S141" s="55"/>
      <c r="T141" s="10" t="n">
        <f aca="false">COUNTIF($B$131:$B$146,Q141)*$E$178</f>
        <v>0</v>
      </c>
      <c r="V141" s="9" t="str">
        <f aca="false">004_Nir1!$BS52</f>
        <v>Cape Verde</v>
      </c>
      <c r="W141" s="55"/>
      <c r="X141" s="55"/>
      <c r="Y141" s="10" t="n">
        <f aca="false">COUNTIF($B$131:$B$146,V141)*$E$178</f>
        <v>0</v>
      </c>
      <c r="AA141" s="9" t="str">
        <f aca="false">005_Nir2!$BS52</f>
        <v>Korea Republic</v>
      </c>
      <c r="AB141" s="55"/>
      <c r="AC141" s="55"/>
      <c r="AD141" s="10" t="n">
        <f aca="false">COUNTIF($B$131:$B$146,AA141)*$E$178</f>
        <v>0</v>
      </c>
      <c r="AF141" s="9" t="str">
        <f aca="false">006_Nir3!$BS52</f>
        <v>Czech Republic</v>
      </c>
      <c r="AG141" s="55"/>
      <c r="AH141" s="55"/>
      <c r="AI141" s="10" t="n">
        <f aca="false">COUNTIF($B$131:$B$146,AF141)*$E$178</f>
        <v>0</v>
      </c>
    </row>
    <row r="142" customFormat="false" ht="14.25" hidden="false" customHeight="true" outlineLevel="0" collapsed="false">
      <c r="B142" s="21" t="str">
        <f aca="false">IF(Summary!R15="","",Summary!R15)</f>
        <v/>
      </c>
      <c r="G142" s="9" t="str">
        <f aca="false">001_MikiZiso3!$BS53</f>
        <v>England</v>
      </c>
      <c r="H142" s="55"/>
      <c r="I142" s="55"/>
      <c r="J142" s="10" t="n">
        <f aca="false">COUNTIF($B$131:$B$146,G142)*$E$178</f>
        <v>0</v>
      </c>
      <c r="L142" s="9" t="str">
        <f aca="false">002_MikiZiso2!$BS53</f>
        <v>England</v>
      </c>
      <c r="M142" s="55"/>
      <c r="N142" s="55"/>
      <c r="O142" s="10" t="n">
        <f aca="false">COUNTIF($B$131:$B$146,L142)*$E$178</f>
        <v>0</v>
      </c>
      <c r="Q142" s="9" t="str">
        <f aca="false">003_Miki_Ziso!$BS53</f>
        <v>England</v>
      </c>
      <c r="R142" s="55"/>
      <c r="S142" s="55"/>
      <c r="T142" s="10" t="n">
        <f aca="false">COUNTIF($B$131:$B$146,Q142)*$E$178</f>
        <v>0</v>
      </c>
      <c r="V142" s="9" t="str">
        <f aca="false">004_Nir1!$BS53</f>
        <v>Senegal</v>
      </c>
      <c r="W142" s="55"/>
      <c r="X142" s="55"/>
      <c r="Y142" s="10" t="n">
        <f aca="false">COUNTIF($B$131:$B$146,V142)*$E$178</f>
        <v>0</v>
      </c>
      <c r="AA142" s="9" t="str">
        <f aca="false">005_Nir2!$BS53</f>
        <v>Uzbekistan</v>
      </c>
      <c r="AB142" s="55"/>
      <c r="AC142" s="55"/>
      <c r="AD142" s="10" t="n">
        <f aca="false">COUNTIF($B$131:$B$146,AA142)*$E$178</f>
        <v>0</v>
      </c>
      <c r="AF142" s="9" t="str">
        <f aca="false">006_Nir3!$BS53</f>
        <v>Ghana</v>
      </c>
      <c r="AG142" s="55"/>
      <c r="AH142" s="55"/>
      <c r="AI142" s="10" t="n">
        <f aca="false">COUNTIF($B$131:$B$146,AF142)*$E$178</f>
        <v>0</v>
      </c>
    </row>
    <row r="143" customFormat="false" ht="14.25" hidden="false" customHeight="true" outlineLevel="0" collapsed="false">
      <c r="B143" s="21" t="str">
        <f aca="false">IF(Summary!R16="","",Summary!R16)</f>
        <v/>
      </c>
      <c r="G143" s="9" t="str">
        <f aca="false">001_MikiZiso3!$BS60</f>
        <v>Uruguay</v>
      </c>
      <c r="H143" s="55"/>
      <c r="I143" s="55"/>
      <c r="J143" s="10" t="n">
        <f aca="false">COUNTIF($B$131:$B$146,G143)*$E$178</f>
        <v>0</v>
      </c>
      <c r="L143" s="9" t="str">
        <f aca="false">002_MikiZiso2!$BS60</f>
        <v>Argentina</v>
      </c>
      <c r="M143" s="55"/>
      <c r="N143" s="55"/>
      <c r="O143" s="10" t="n">
        <f aca="false">COUNTIF($B$131:$B$146,L143)*$E$178</f>
        <v>0</v>
      </c>
      <c r="Q143" s="9" t="str">
        <f aca="false">003_Miki_Ziso!$BS60</f>
        <v>Argentina</v>
      </c>
      <c r="R143" s="55"/>
      <c r="S143" s="55"/>
      <c r="T143" s="10" t="n">
        <f aca="false">COUNTIF($B$131:$B$146,Q143)*$E$178</f>
        <v>0</v>
      </c>
      <c r="V143" s="9" t="str">
        <f aca="false">004_Nir1!$BS60</f>
        <v>Algeria</v>
      </c>
      <c r="W143" s="55"/>
      <c r="X143" s="55"/>
      <c r="Y143" s="10" t="n">
        <f aca="false">COUNTIF($B$131:$B$146,V143)*$E$178</f>
        <v>0</v>
      </c>
      <c r="AA143" s="9" t="str">
        <f aca="false">005_Nir2!$BS60</f>
        <v>Uruguay</v>
      </c>
      <c r="AB143" s="55"/>
      <c r="AC143" s="55"/>
      <c r="AD143" s="10" t="n">
        <f aca="false">COUNTIF($B$131:$B$146,AA143)*$E$178</f>
        <v>0</v>
      </c>
      <c r="AF143" s="9" t="str">
        <f aca="false">006_Nir3!$BS60</f>
        <v>Uruguay</v>
      </c>
      <c r="AG143" s="55"/>
      <c r="AH143" s="55"/>
      <c r="AI143" s="10" t="n">
        <f aca="false">COUNTIF($B$131:$B$146,AF143)*$E$178</f>
        <v>0</v>
      </c>
    </row>
    <row r="144" customFormat="false" ht="14.25" hidden="false" customHeight="true" outlineLevel="0" collapsed="false">
      <c r="B144" s="21" t="str">
        <f aca="false">IF(Summary!R17="","",Summary!R17)</f>
        <v/>
      </c>
      <c r="G144" s="9" t="str">
        <f aca="false">001_MikiZiso3!$BS61</f>
        <v>Turkey</v>
      </c>
      <c r="H144" s="55"/>
      <c r="I144" s="55"/>
      <c r="J144" s="10" t="n">
        <f aca="false">COUNTIF($B$131:$B$146,G144)*$E$178</f>
        <v>0</v>
      </c>
      <c r="L144" s="9" t="str">
        <f aca="false">002_MikiZiso2!$BS61</f>
        <v>Egypt</v>
      </c>
      <c r="M144" s="55"/>
      <c r="N144" s="55"/>
      <c r="O144" s="10" t="n">
        <f aca="false">COUNTIF($B$131:$B$146,L144)*$E$178</f>
        <v>0</v>
      </c>
      <c r="Q144" s="9" t="str">
        <f aca="false">003_Miki_Ziso!$BS61</f>
        <v>Belgium</v>
      </c>
      <c r="R144" s="55"/>
      <c r="S144" s="55"/>
      <c r="T144" s="10" t="n">
        <f aca="false">COUNTIF($B$131:$B$146,Q144)*$E$178</f>
        <v>0</v>
      </c>
      <c r="V144" s="9" t="str">
        <f aca="false">004_Nir1!$BS61</f>
        <v>Paraguay</v>
      </c>
      <c r="W144" s="55"/>
      <c r="X144" s="55"/>
      <c r="Y144" s="10" t="n">
        <f aca="false">COUNTIF($B$131:$B$146,V144)*$E$178</f>
        <v>0</v>
      </c>
      <c r="AA144" s="9" t="str">
        <f aca="false">005_Nir2!$BS61</f>
        <v>Belgium</v>
      </c>
      <c r="AB144" s="55"/>
      <c r="AC144" s="55"/>
      <c r="AD144" s="10" t="n">
        <f aca="false">COUNTIF($B$131:$B$146,AA144)*$E$178</f>
        <v>0</v>
      </c>
      <c r="AF144" s="9" t="str">
        <f aca="false">006_Nir3!$BS61</f>
        <v>Turkey</v>
      </c>
      <c r="AG144" s="55"/>
      <c r="AH144" s="55"/>
      <c r="AI144" s="10" t="n">
        <f aca="false">COUNTIF($B$131:$B$146,AF144)*$E$178</f>
        <v>0</v>
      </c>
    </row>
    <row r="145" customFormat="false" ht="14.25" hidden="false" customHeight="true" outlineLevel="0" collapsed="false">
      <c r="B145" s="21" t="str">
        <f aca="false">IF(Summary!R18="","",Summary!R18)</f>
        <v/>
      </c>
      <c r="G145" s="9" t="str">
        <f aca="false">001_MikiZiso3!$BS68</f>
        <v>New Zealand</v>
      </c>
      <c r="H145" s="55"/>
      <c r="I145" s="55"/>
      <c r="J145" s="10" t="n">
        <f aca="false">COUNTIF($B$131:$B$146,G145)*$E$178</f>
        <v>0</v>
      </c>
      <c r="L145" s="9" t="str">
        <f aca="false">002_MikiZiso2!$BS68</f>
        <v>New Zealand</v>
      </c>
      <c r="M145" s="55"/>
      <c r="N145" s="55"/>
      <c r="O145" s="10" t="n">
        <f aca="false">COUNTIF($B$131:$B$146,L145)*$E$178</f>
        <v>0</v>
      </c>
      <c r="Q145" s="9" t="str">
        <f aca="false">003_Miki_Ziso!$BS68</f>
        <v>New Zealand</v>
      </c>
      <c r="R145" s="55"/>
      <c r="S145" s="55"/>
      <c r="T145" s="10" t="n">
        <f aca="false">COUNTIF($B$131:$B$146,Q145)*$E$178</f>
        <v>0</v>
      </c>
      <c r="V145" s="9" t="str">
        <f aca="false">004_Nir1!$BS68</f>
        <v>Austria</v>
      </c>
      <c r="W145" s="55"/>
      <c r="X145" s="55"/>
      <c r="Y145" s="10" t="n">
        <f aca="false">COUNTIF($B$131:$B$146,V145)*$E$178</f>
        <v>0</v>
      </c>
      <c r="AA145" s="9" t="str">
        <f aca="false">005_Nir2!$BS68</f>
        <v>Iran</v>
      </c>
      <c r="AB145" s="55"/>
      <c r="AC145" s="55"/>
      <c r="AD145" s="10" t="n">
        <f aca="false">COUNTIF($B$131:$B$146,AA145)*$E$178</f>
        <v>0</v>
      </c>
      <c r="AF145" s="9" t="str">
        <f aca="false">006_Nir3!$BS68</f>
        <v>Canada</v>
      </c>
      <c r="AG145" s="55"/>
      <c r="AH145" s="55"/>
      <c r="AI145" s="10" t="n">
        <f aca="false">COUNTIF($B$131:$B$146,AF145)*$E$178</f>
        <v>0</v>
      </c>
    </row>
    <row r="146" customFormat="false" ht="14.25" hidden="false" customHeight="true" outlineLevel="0" collapsed="false">
      <c r="B146" s="21" t="str">
        <f aca="false">IF(Summary!R19="","",Summary!R19)</f>
        <v/>
      </c>
      <c r="G146" s="9" t="str">
        <f aca="false">001_MikiZiso3!$BS69</f>
        <v>Ghana</v>
      </c>
      <c r="H146" s="55"/>
      <c r="I146" s="55"/>
      <c r="J146" s="10" t="n">
        <f aca="false">COUNTIF($B$131:$B$146,G146)*$E$178</f>
        <v>0</v>
      </c>
      <c r="L146" s="9" t="str">
        <f aca="false">002_MikiZiso2!$BS69</f>
        <v>Croatia</v>
      </c>
      <c r="M146" s="55"/>
      <c r="N146" s="55"/>
      <c r="O146" s="10" t="n">
        <f aca="false">COUNTIF($B$131:$B$146,L146)*$E$178</f>
        <v>0</v>
      </c>
      <c r="Q146" s="9" t="str">
        <f aca="false">003_Miki_Ziso!$BS69</f>
        <v>Colombia</v>
      </c>
      <c r="R146" s="55"/>
      <c r="S146" s="55"/>
      <c r="T146" s="10" t="n">
        <f aca="false">COUNTIF($B$131:$B$146,Q146)*$E$178</f>
        <v>0</v>
      </c>
      <c r="V146" s="9" t="str">
        <f aca="false">004_Nir1!$BS69</f>
        <v>Colombia</v>
      </c>
      <c r="W146" s="55"/>
      <c r="X146" s="55"/>
      <c r="Y146" s="10" t="n">
        <f aca="false">COUNTIF($B$131:$B$146,V146)*$E$178</f>
        <v>0</v>
      </c>
      <c r="AA146" s="9" t="str">
        <f aca="false">005_Nir2!$BS69</f>
        <v>Panama</v>
      </c>
      <c r="AB146" s="55"/>
      <c r="AC146" s="55"/>
      <c r="AD146" s="10" t="n">
        <f aca="false">COUNTIF($B$131:$B$146,AA146)*$E$178</f>
        <v>0</v>
      </c>
      <c r="AF146" s="9" t="str">
        <f aca="false">006_Nir3!$BS69</f>
        <v>Uzbekistan</v>
      </c>
      <c r="AG146" s="55"/>
      <c r="AH146" s="55"/>
      <c r="AI146" s="10" t="n">
        <f aca="false">COUNTIF($B$131:$B$146,AF146)*$E$178</f>
        <v>0</v>
      </c>
    </row>
    <row r="147" customFormat="false" ht="14.25" hidden="false" customHeight="true" outlineLevel="0" collapsed="false">
      <c r="B147" s="21"/>
      <c r="G147" s="9"/>
      <c r="H147" s="55"/>
      <c r="I147" s="55"/>
      <c r="J147" s="55"/>
      <c r="L147" s="9"/>
      <c r="M147" s="55"/>
      <c r="N147" s="55"/>
      <c r="O147" s="55"/>
      <c r="Q147" s="9"/>
      <c r="R147" s="55"/>
      <c r="S147" s="55"/>
      <c r="T147" s="55"/>
      <c r="V147" s="9"/>
      <c r="W147" s="55"/>
      <c r="X147" s="55"/>
      <c r="Y147" s="55"/>
      <c r="AA147" s="9"/>
      <c r="AB147" s="55"/>
      <c r="AC147" s="55"/>
      <c r="AD147" s="55"/>
      <c r="AF147" s="9"/>
      <c r="AG147" s="55"/>
      <c r="AH147" s="55"/>
      <c r="AI147" s="55"/>
    </row>
    <row r="148" customFormat="false" ht="14.25" hidden="false" customHeight="true" outlineLevel="0" collapsed="false">
      <c r="B148" s="56" t="s">
        <v>26</v>
      </c>
      <c r="G148" s="57" t="s">
        <v>26</v>
      </c>
      <c r="H148" s="55"/>
      <c r="I148" s="55"/>
      <c r="J148" s="51" t="n">
        <f aca="false">SUM(J149:J156)</f>
        <v>0</v>
      </c>
      <c r="K148" s="59"/>
      <c r="L148" s="60" t="s">
        <v>26</v>
      </c>
      <c r="M148" s="61"/>
      <c r="N148" s="61"/>
      <c r="O148" s="51" t="n">
        <f aca="false">SUM(O149:O156)</f>
        <v>0</v>
      </c>
      <c r="P148" s="59"/>
      <c r="Q148" s="60" t="s">
        <v>26</v>
      </c>
      <c r="R148" s="61"/>
      <c r="S148" s="61"/>
      <c r="T148" s="51" t="n">
        <f aca="false">SUM(T149:T156)</f>
        <v>0</v>
      </c>
      <c r="U148" s="59"/>
      <c r="V148" s="60" t="s">
        <v>26</v>
      </c>
      <c r="W148" s="61"/>
      <c r="X148" s="61"/>
      <c r="Y148" s="51" t="n">
        <f aca="false">SUM(Y149:Y156)</f>
        <v>0</v>
      </c>
      <c r="Z148" s="59"/>
      <c r="AA148" s="60" t="s">
        <v>26</v>
      </c>
      <c r="AB148" s="61"/>
      <c r="AC148" s="61"/>
      <c r="AD148" s="51" t="n">
        <f aca="false">SUM(AD149:AD156)</f>
        <v>0</v>
      </c>
      <c r="AE148" s="59"/>
      <c r="AF148" s="60" t="s">
        <v>26</v>
      </c>
      <c r="AG148" s="61"/>
      <c r="AH148" s="61"/>
      <c r="AI148" s="51" t="n">
        <f aca="false">SUM(AI149:AI156)</f>
        <v>0</v>
      </c>
    </row>
    <row r="149" customFormat="false" ht="14.25" hidden="false" customHeight="true" outlineLevel="0" collapsed="false">
      <c r="B149" s="21" t="str">
        <f aca="false">IF(Summary!R22="","",Summary!R22)</f>
        <v/>
      </c>
      <c r="G149" s="9" t="str">
        <f aca="false">001_MikiZiso3!$BZ16</f>
        <v>Norway</v>
      </c>
      <c r="H149" s="55"/>
      <c r="I149" s="55"/>
      <c r="J149" s="10" t="n">
        <f aca="false">COUNTIF($B$149:$B$156,G149)*$E$178</f>
        <v>0</v>
      </c>
      <c r="L149" s="9" t="str">
        <f aca="false">002_MikiZiso2!$BZ16</f>
        <v>Germany</v>
      </c>
      <c r="M149" s="55"/>
      <c r="N149" s="55"/>
      <c r="O149" s="10" t="n">
        <f aca="false">COUNTIF($B$149:$B$156,L149)*$E$178</f>
        <v>0</v>
      </c>
      <c r="Q149" s="9" t="str">
        <f aca="false">003_Miki_Ziso!$BZ16</f>
        <v>Germany</v>
      </c>
      <c r="R149" s="55"/>
      <c r="S149" s="55"/>
      <c r="T149" s="10" t="n">
        <f aca="false">COUNTIF($B$149:$B$156,Q149)*$E$178</f>
        <v>0</v>
      </c>
      <c r="V149" s="9" t="str">
        <f aca="false">004_Nir1!$BZ16</f>
        <v>Norway</v>
      </c>
      <c r="W149" s="55"/>
      <c r="X149" s="55"/>
      <c r="Y149" s="10" t="n">
        <f aca="false">COUNTIF($B$149:$B$156,V149)*$E$178</f>
        <v>0</v>
      </c>
      <c r="AA149" s="9" t="str">
        <f aca="false">005_Nir2!$BZ16</f>
        <v>Tunisia</v>
      </c>
      <c r="AB149" s="55"/>
      <c r="AC149" s="55"/>
      <c r="AD149" s="10" t="n">
        <f aca="false">COUNTIF($B$149:$B$156,AA149)*$E$178</f>
        <v>0</v>
      </c>
      <c r="AF149" s="9" t="str">
        <f aca="false">006_Nir3!$BZ16</f>
        <v>Belgium</v>
      </c>
      <c r="AG149" s="55"/>
      <c r="AH149" s="55"/>
      <c r="AI149" s="10" t="n">
        <f aca="false">COUNTIF($B$149:$B$156,AF149)*$E$178</f>
        <v>0</v>
      </c>
    </row>
    <row r="150" customFormat="false" ht="14.25" hidden="false" customHeight="true" outlineLevel="0" collapsed="false">
      <c r="B150" s="21" t="str">
        <f aca="false">IF(Summary!R23="","",Summary!R23)</f>
        <v/>
      </c>
      <c r="G150" s="9" t="str">
        <f aca="false">001_MikiZiso3!$BZ17</f>
        <v>Japan</v>
      </c>
      <c r="H150" s="55"/>
      <c r="I150" s="55"/>
      <c r="J150" s="10" t="n">
        <f aca="false">COUNTIF($B$149:$B$156,G150)*$E$178</f>
        <v>0</v>
      </c>
      <c r="L150" s="9" t="str">
        <f aca="false">002_MikiZiso2!$BZ17</f>
        <v>Brazil</v>
      </c>
      <c r="M150" s="55"/>
      <c r="N150" s="55"/>
      <c r="O150" s="10" t="n">
        <f aca="false">COUNTIF($B$149:$B$156,L150)*$E$178</f>
        <v>0</v>
      </c>
      <c r="Q150" s="9" t="str">
        <f aca="false">003_Miki_Ziso!$BZ17</f>
        <v>Brazil</v>
      </c>
      <c r="R150" s="55"/>
      <c r="S150" s="55"/>
      <c r="T150" s="10" t="n">
        <f aca="false">COUNTIF($B$149:$B$156,Q150)*$E$178</f>
        <v>0</v>
      </c>
      <c r="V150" s="9" t="str">
        <f aca="false">004_Nir1!$BZ17</f>
        <v>Brazil</v>
      </c>
      <c r="W150" s="55"/>
      <c r="X150" s="55"/>
      <c r="Y150" s="10" t="n">
        <f aca="false">COUNTIF($B$149:$B$156,V150)*$E$178</f>
        <v>0</v>
      </c>
      <c r="AA150" s="9" t="str">
        <f aca="false">005_Nir2!$BZ17</f>
        <v>Scotland</v>
      </c>
      <c r="AB150" s="55"/>
      <c r="AC150" s="55"/>
      <c r="AD150" s="10" t="n">
        <f aca="false">COUNTIF($B$149:$B$156,AA150)*$E$178</f>
        <v>0</v>
      </c>
      <c r="AF150" s="9" t="str">
        <f aca="false">006_Nir3!$BZ17</f>
        <v>Haiti</v>
      </c>
      <c r="AG150" s="55"/>
      <c r="AH150" s="55"/>
      <c r="AI150" s="10" t="n">
        <f aca="false">COUNTIF($B$149:$B$156,AF150)*$E$178</f>
        <v>0</v>
      </c>
    </row>
    <row r="151" customFormat="false" ht="14.25" hidden="false" customHeight="true" outlineLevel="0" collapsed="false">
      <c r="B151" s="21" t="str">
        <f aca="false">IF(Summary!R24="","",Summary!R24)</f>
        <v/>
      </c>
      <c r="G151" s="9" t="str">
        <f aca="false">001_MikiZiso3!$BZ32</f>
        <v>Portugal</v>
      </c>
      <c r="H151" s="55"/>
      <c r="I151" s="55"/>
      <c r="J151" s="10" t="n">
        <f aca="false">COUNTIF($B$149:$B$156,G151)*$E$178</f>
        <v>0</v>
      </c>
      <c r="L151" s="9" t="str">
        <f aca="false">002_MikiZiso2!$BZ32</f>
        <v>Austria</v>
      </c>
      <c r="M151" s="55"/>
      <c r="N151" s="55"/>
      <c r="O151" s="10" t="n">
        <f aca="false">COUNTIF($B$149:$B$156,L151)*$E$178</f>
        <v>0</v>
      </c>
      <c r="Q151" s="9" t="str">
        <f aca="false">003_Miki_Ziso!$BZ32</f>
        <v>Spain</v>
      </c>
      <c r="R151" s="55"/>
      <c r="S151" s="55"/>
      <c r="T151" s="10" t="n">
        <f aca="false">COUNTIF($B$149:$B$156,Q151)*$E$178</f>
        <v>0</v>
      </c>
      <c r="V151" s="9" t="str">
        <f aca="false">004_Nir1!$BZ32</f>
        <v>Jordan</v>
      </c>
      <c r="W151" s="55"/>
      <c r="X151" s="55"/>
      <c r="Y151" s="10" t="n">
        <f aca="false">COUNTIF($B$149:$B$156,V151)*$E$178</f>
        <v>0</v>
      </c>
      <c r="AA151" s="9" t="str">
        <f aca="false">005_Nir2!$BZ32</f>
        <v>Jordan</v>
      </c>
      <c r="AB151" s="55"/>
      <c r="AC151" s="55"/>
      <c r="AD151" s="10" t="n">
        <f aca="false">COUNTIF($B$149:$B$156,AA151)*$E$178</f>
        <v>0</v>
      </c>
      <c r="AF151" s="9" t="str">
        <f aca="false">006_Nir3!$BZ32</f>
        <v>Algeria</v>
      </c>
      <c r="AG151" s="55"/>
      <c r="AH151" s="55"/>
      <c r="AI151" s="10" t="n">
        <f aca="false">COUNTIF($B$149:$B$156,AF151)*$E$178</f>
        <v>0</v>
      </c>
    </row>
    <row r="152" customFormat="false" ht="14.25" hidden="false" customHeight="true" outlineLevel="0" collapsed="false">
      <c r="B152" s="21" t="str">
        <f aca="false">IF(Summary!R25="","",Summary!R25)</f>
        <v/>
      </c>
      <c r="G152" s="9" t="str">
        <f aca="false">001_MikiZiso3!$BZ33</f>
        <v>United States</v>
      </c>
      <c r="H152" s="55"/>
      <c r="I152" s="55"/>
      <c r="J152" s="10" t="n">
        <f aca="false">COUNTIF($B$149:$B$156,G152)*$E$178</f>
        <v>0</v>
      </c>
      <c r="L152" s="9" t="str">
        <f aca="false">002_MikiZiso2!$BZ33</f>
        <v>United States</v>
      </c>
      <c r="M152" s="55"/>
      <c r="N152" s="55"/>
      <c r="O152" s="10" t="n">
        <f aca="false">COUNTIF($B$149:$B$156,L152)*$E$178</f>
        <v>0</v>
      </c>
      <c r="Q152" s="9" t="str">
        <f aca="false">003_Miki_Ziso!$BZ33</f>
        <v>Turkey</v>
      </c>
      <c r="R152" s="55"/>
      <c r="S152" s="55"/>
      <c r="T152" s="10" t="n">
        <f aca="false">COUNTIF($B$149:$B$156,Q152)*$E$178</f>
        <v>0</v>
      </c>
      <c r="V152" s="9" t="str">
        <f aca="false">004_Nir1!$BZ33</f>
        <v>Canada</v>
      </c>
      <c r="W152" s="55"/>
      <c r="X152" s="55"/>
      <c r="Y152" s="10" t="n">
        <f aca="false">COUNTIF($B$149:$B$156,V152)*$E$178</f>
        <v>0</v>
      </c>
      <c r="AA152" s="9" t="str">
        <f aca="false">005_Nir2!$BZ33</f>
        <v>Qatar</v>
      </c>
      <c r="AB152" s="55"/>
      <c r="AC152" s="55"/>
      <c r="AD152" s="10" t="n">
        <f aca="false">COUNTIF($B$149:$B$156,AA152)*$E$178</f>
        <v>0</v>
      </c>
      <c r="AF152" s="9" t="str">
        <f aca="false">006_Nir3!$BZ33</f>
        <v>Bosnia and Herzegovina</v>
      </c>
      <c r="AG152" s="55"/>
      <c r="AH152" s="55"/>
      <c r="AI152" s="10" t="n">
        <f aca="false">COUNTIF($B$149:$B$156,AF152)*$E$178</f>
        <v>0</v>
      </c>
    </row>
    <row r="153" customFormat="false" ht="14.25" hidden="false" customHeight="true" outlineLevel="0" collapsed="false">
      <c r="B153" s="21" t="str">
        <f aca="false">IF(Summary!R26="","",Summary!R26)</f>
        <v/>
      </c>
      <c r="G153" s="9" t="str">
        <f aca="false">001_MikiZiso3!$BZ48</f>
        <v>France</v>
      </c>
      <c r="H153" s="55"/>
      <c r="I153" s="55"/>
      <c r="J153" s="10" t="n">
        <f aca="false">COUNTIF($B$149:$B$156,G153)*$E$178</f>
        <v>0</v>
      </c>
      <c r="L153" s="9" t="str">
        <f aca="false">002_MikiZiso2!$BZ48</f>
        <v>France</v>
      </c>
      <c r="M153" s="55"/>
      <c r="N153" s="55"/>
      <c r="O153" s="10" t="n">
        <f aca="false">COUNTIF($B$149:$B$156,L153)*$E$178</f>
        <v>0</v>
      </c>
      <c r="Q153" s="9" t="str">
        <f aca="false">003_Miki_Ziso!$BZ48</f>
        <v>Morocco</v>
      </c>
      <c r="R153" s="55"/>
      <c r="S153" s="55"/>
      <c r="T153" s="10" t="n">
        <f aca="false">COUNTIF($B$149:$B$156,Q153)*$E$178</f>
        <v>0</v>
      </c>
      <c r="V153" s="9" t="str">
        <f aca="false">004_Nir1!$BZ48</f>
        <v>Germany</v>
      </c>
      <c r="W153" s="55"/>
      <c r="X153" s="55"/>
      <c r="Y153" s="10" t="n">
        <f aca="false">COUNTIF($B$149:$B$156,V153)*$E$178</f>
        <v>0</v>
      </c>
      <c r="AA153" s="9" t="str">
        <f aca="false">005_Nir2!$BZ48</f>
        <v>Netherlands</v>
      </c>
      <c r="AB153" s="55"/>
      <c r="AC153" s="55"/>
      <c r="AD153" s="10" t="n">
        <f aca="false">COUNTIF($B$149:$B$156,AA153)*$E$178</f>
        <v>0</v>
      </c>
      <c r="AF153" s="9" t="str">
        <f aca="false">006_Nir3!$BZ48</f>
        <v>Ecuador</v>
      </c>
      <c r="AG153" s="55"/>
      <c r="AH153" s="55"/>
      <c r="AI153" s="10" t="n">
        <f aca="false">COUNTIF($B$149:$B$156,AF153)*$E$178</f>
        <v>0</v>
      </c>
    </row>
    <row r="154" customFormat="false" ht="14.25" hidden="false" customHeight="true" outlineLevel="0" collapsed="false">
      <c r="B154" s="21" t="str">
        <f aca="false">IF(Summary!R27="","",Summary!R27)</f>
        <v/>
      </c>
      <c r="G154" s="9" t="str">
        <f aca="false">001_MikiZiso3!$BZ49</f>
        <v>England</v>
      </c>
      <c r="H154" s="55"/>
      <c r="I154" s="55"/>
      <c r="J154" s="10" t="n">
        <f aca="false">COUNTIF($B$149:$B$156,G154)*$E$178</f>
        <v>0</v>
      </c>
      <c r="L154" s="9" t="str">
        <f aca="false">002_MikiZiso2!$BZ49</f>
        <v>England</v>
      </c>
      <c r="M154" s="55"/>
      <c r="N154" s="55"/>
      <c r="O154" s="10" t="n">
        <f aca="false">COUNTIF($B$149:$B$156,L154)*$E$178</f>
        <v>0</v>
      </c>
      <c r="Q154" s="9" t="str">
        <f aca="false">003_Miki_Ziso!$BZ49</f>
        <v>England</v>
      </c>
      <c r="R154" s="55"/>
      <c r="S154" s="55"/>
      <c r="T154" s="10" t="n">
        <f aca="false">COUNTIF($B$149:$B$156,Q154)*$E$178</f>
        <v>0</v>
      </c>
      <c r="V154" s="9" t="str">
        <f aca="false">004_Nir1!$BZ49</f>
        <v>Senegal</v>
      </c>
      <c r="W154" s="55"/>
      <c r="X154" s="55"/>
      <c r="Y154" s="10" t="n">
        <f aca="false">COUNTIF($B$149:$B$156,V154)*$E$178</f>
        <v>0</v>
      </c>
      <c r="AA154" s="9" t="str">
        <f aca="false">005_Nir2!$BZ49</f>
        <v>Korea Republic</v>
      </c>
      <c r="AB154" s="55"/>
      <c r="AC154" s="55"/>
      <c r="AD154" s="10" t="n">
        <f aca="false">COUNTIF($B$149:$B$156,AA154)*$E$178</f>
        <v>0</v>
      </c>
      <c r="AF154" s="9" t="str">
        <f aca="false">006_Nir3!$BZ49</f>
        <v>Ghana</v>
      </c>
      <c r="AG154" s="55"/>
      <c r="AH154" s="55"/>
      <c r="AI154" s="10" t="n">
        <f aca="false">COUNTIF($B$149:$B$156,AF154)*$E$178</f>
        <v>0</v>
      </c>
    </row>
    <row r="155" customFormat="false" ht="14.25" hidden="false" customHeight="true" outlineLevel="0" collapsed="false">
      <c r="B155" s="21" t="str">
        <f aca="false">IF(Summary!R28="","",Summary!R28)</f>
        <v/>
      </c>
      <c r="G155" s="9" t="str">
        <f aca="false">001_MikiZiso3!$BZ64</f>
        <v>Uruguay</v>
      </c>
      <c r="H155" s="55"/>
      <c r="I155" s="55"/>
      <c r="J155" s="10" t="n">
        <f aca="false">COUNTIF($B$149:$B$156,G155)*$E$178</f>
        <v>0</v>
      </c>
      <c r="L155" s="9" t="str">
        <f aca="false">002_MikiZiso2!$BZ64</f>
        <v>Argentina</v>
      </c>
      <c r="M155" s="55"/>
      <c r="N155" s="55"/>
      <c r="O155" s="10" t="n">
        <f aca="false">COUNTIF($B$149:$B$156,L155)*$E$178</f>
        <v>0</v>
      </c>
      <c r="Q155" s="9" t="str">
        <f aca="false">003_Miki_Ziso!$BZ64</f>
        <v>Argentina</v>
      </c>
      <c r="R155" s="55"/>
      <c r="S155" s="55"/>
      <c r="T155" s="10" t="n">
        <f aca="false">COUNTIF($B$149:$B$156,Q155)*$E$178</f>
        <v>0</v>
      </c>
      <c r="V155" s="9" t="str">
        <f aca="false">004_Nir1!$BZ64</f>
        <v>Algeria</v>
      </c>
      <c r="W155" s="55"/>
      <c r="X155" s="55"/>
      <c r="Y155" s="10" t="n">
        <f aca="false">COUNTIF($B$149:$B$156,V155)*$E$178</f>
        <v>0</v>
      </c>
      <c r="AA155" s="9" t="str">
        <f aca="false">005_Nir2!$BZ64</f>
        <v>Belgium</v>
      </c>
      <c r="AB155" s="55"/>
      <c r="AC155" s="55"/>
      <c r="AD155" s="10" t="n">
        <f aca="false">COUNTIF($B$149:$B$156,AA155)*$E$178</f>
        <v>0</v>
      </c>
      <c r="AF155" s="9" t="str">
        <f aca="false">006_Nir3!$BZ64</f>
        <v>Uruguay</v>
      </c>
      <c r="AG155" s="55"/>
      <c r="AH155" s="55"/>
      <c r="AI155" s="10" t="n">
        <f aca="false">COUNTIF($B$149:$B$156,AF155)*$E$178</f>
        <v>0</v>
      </c>
    </row>
    <row r="156" customFormat="false" ht="14.25" hidden="false" customHeight="true" outlineLevel="0" collapsed="false">
      <c r="B156" s="21" t="str">
        <f aca="false">IF(Summary!R29="","",Summary!R29)</f>
        <v/>
      </c>
      <c r="G156" s="9" t="str">
        <f aca="false">001_MikiZiso3!$BZ65</f>
        <v>Ghana</v>
      </c>
      <c r="H156" s="55"/>
      <c r="I156" s="55"/>
      <c r="J156" s="10" t="n">
        <f aca="false">COUNTIF($B$149:$B$156,G156)*$E$178</f>
        <v>0</v>
      </c>
      <c r="L156" s="9" t="str">
        <f aca="false">002_MikiZiso2!$BZ65</f>
        <v>Croatia</v>
      </c>
      <c r="M156" s="55"/>
      <c r="N156" s="55"/>
      <c r="O156" s="10" t="n">
        <f aca="false">COUNTIF($B$149:$B$156,L156)*$E$178</f>
        <v>0</v>
      </c>
      <c r="Q156" s="9" t="str">
        <f aca="false">003_Miki_Ziso!$BZ65</f>
        <v>Colombia</v>
      </c>
      <c r="R156" s="55"/>
      <c r="S156" s="55"/>
      <c r="T156" s="10" t="n">
        <f aca="false">COUNTIF($B$149:$B$156,Q156)*$E$178</f>
        <v>0</v>
      </c>
      <c r="V156" s="9" t="str">
        <f aca="false">004_Nir1!$BZ65</f>
        <v>Austria</v>
      </c>
      <c r="W156" s="55"/>
      <c r="X156" s="55"/>
      <c r="Y156" s="10" t="n">
        <f aca="false">COUNTIF($B$149:$B$156,V156)*$E$178</f>
        <v>0</v>
      </c>
      <c r="AA156" s="9" t="str">
        <f aca="false">005_Nir2!$BZ65</f>
        <v>Panama</v>
      </c>
      <c r="AB156" s="55"/>
      <c r="AC156" s="55"/>
      <c r="AD156" s="10" t="n">
        <f aca="false">COUNTIF($B$149:$B$156,AA156)*$E$178</f>
        <v>0</v>
      </c>
      <c r="AF156" s="9" t="str">
        <f aca="false">006_Nir3!$BZ65</f>
        <v>Uzbekistan</v>
      </c>
      <c r="AG156" s="55"/>
      <c r="AH156" s="55"/>
      <c r="AI156" s="10" t="n">
        <f aca="false">COUNTIF($B$149:$B$156,AF156)*$E$178</f>
        <v>0</v>
      </c>
    </row>
    <row r="157" customFormat="false" ht="14.25" hidden="false" customHeight="true" outlineLevel="0" collapsed="false">
      <c r="B157" s="21"/>
      <c r="G157" s="9"/>
      <c r="H157" s="55"/>
      <c r="I157" s="55"/>
      <c r="J157" s="55"/>
      <c r="L157" s="9"/>
      <c r="M157" s="55"/>
      <c r="N157" s="55"/>
      <c r="O157" s="55"/>
      <c r="Q157" s="9"/>
      <c r="R157" s="55"/>
      <c r="S157" s="55"/>
      <c r="T157" s="55"/>
      <c r="V157" s="9"/>
      <c r="W157" s="55"/>
      <c r="X157" s="55"/>
      <c r="Y157" s="55"/>
      <c r="AA157" s="9"/>
      <c r="AB157" s="55"/>
      <c r="AC157" s="55"/>
      <c r="AD157" s="55"/>
      <c r="AF157" s="9"/>
      <c r="AG157" s="55"/>
      <c r="AH157" s="55"/>
      <c r="AI157" s="55"/>
    </row>
    <row r="158" customFormat="false" ht="14.25" hidden="false" customHeight="true" outlineLevel="0" collapsed="false">
      <c r="B158" s="56" t="s">
        <v>37</v>
      </c>
      <c r="G158" s="57" t="s">
        <v>37</v>
      </c>
      <c r="H158" s="55"/>
      <c r="I158" s="55"/>
      <c r="J158" s="51" t="n">
        <f aca="false">SUM(J159:J162)</f>
        <v>0</v>
      </c>
      <c r="K158" s="59"/>
      <c r="L158" s="60" t="s">
        <v>37</v>
      </c>
      <c r="M158" s="61"/>
      <c r="N158" s="61"/>
      <c r="O158" s="51" t="n">
        <f aca="false">SUM(O159:O162)</f>
        <v>0</v>
      </c>
      <c r="P158" s="59"/>
      <c r="Q158" s="60" t="s">
        <v>37</v>
      </c>
      <c r="R158" s="61"/>
      <c r="S158" s="61"/>
      <c r="T158" s="51" t="n">
        <f aca="false">SUM(T159:T162)</f>
        <v>0</v>
      </c>
      <c r="U158" s="59"/>
      <c r="V158" s="60" t="s">
        <v>37</v>
      </c>
      <c r="W158" s="61"/>
      <c r="X158" s="61"/>
      <c r="Y158" s="51" t="n">
        <f aca="false">SUM(Y159:Y162)</f>
        <v>0</v>
      </c>
      <c r="Z158" s="59"/>
      <c r="AA158" s="60" t="s">
        <v>37</v>
      </c>
      <c r="AB158" s="61"/>
      <c r="AC158" s="61"/>
      <c r="AD158" s="51" t="n">
        <f aca="false">SUM(AD159:AD162)</f>
        <v>0</v>
      </c>
      <c r="AE158" s="59"/>
      <c r="AF158" s="60" t="s">
        <v>37</v>
      </c>
      <c r="AG158" s="61"/>
      <c r="AH158" s="61"/>
      <c r="AI158" s="51" t="n">
        <f aca="false">SUM(AI159:AI162)</f>
        <v>0</v>
      </c>
    </row>
    <row r="159" customFormat="false" ht="14.25" hidden="false" customHeight="true" outlineLevel="0" collapsed="false">
      <c r="B159" s="21" t="str">
        <f aca="false">IF(Summary!R32="","",Summary!R32)</f>
        <v/>
      </c>
      <c r="G159" s="9" t="str">
        <f aca="false">001_MikiZiso3!$CG23</f>
        <v>Norway</v>
      </c>
      <c r="H159" s="55"/>
      <c r="I159" s="55"/>
      <c r="J159" s="10" t="n">
        <f aca="false">COUNTIF($B$159:$B$162,G159)*$E$179</f>
        <v>0</v>
      </c>
      <c r="L159" s="9" t="str">
        <f aca="false">002_MikiZiso2!$CG23</f>
        <v>Germany</v>
      </c>
      <c r="M159" s="55"/>
      <c r="N159" s="55"/>
      <c r="O159" s="10" t="n">
        <f aca="false">COUNTIF($B$159:$B$162,L159)*$E$179</f>
        <v>0</v>
      </c>
      <c r="Q159" s="9" t="str">
        <f aca="false">003_Miki_Ziso!$CG23</f>
        <v>Brazil</v>
      </c>
      <c r="R159" s="55"/>
      <c r="S159" s="55"/>
      <c r="T159" s="10" t="n">
        <f aca="false">COUNTIF($B$159:$B$162,Q159)*$E$179</f>
        <v>0</v>
      </c>
      <c r="V159" s="9" t="str">
        <f aca="false">004_Nir1!$CG23</f>
        <v>Brazil</v>
      </c>
      <c r="W159" s="55"/>
      <c r="X159" s="55"/>
      <c r="Y159" s="10" t="n">
        <f aca="false">COUNTIF($B$159:$B$162,V159)*$E$179</f>
        <v>0</v>
      </c>
      <c r="AA159" s="9" t="str">
        <f aca="false">005_Nir2!$CG23</f>
        <v>Tunisia</v>
      </c>
      <c r="AB159" s="55"/>
      <c r="AC159" s="55"/>
      <c r="AD159" s="10" t="n">
        <f aca="false">COUNTIF($B$159:$B$162,AA159)*$E$179</f>
        <v>0</v>
      </c>
      <c r="AF159" s="9" t="str">
        <f aca="false">006_Nir3!$CG23</f>
        <v>Belgium</v>
      </c>
      <c r="AG159" s="55"/>
      <c r="AH159" s="55"/>
      <c r="AI159" s="10" t="n">
        <f aca="false">COUNTIF($B$159:$B$162,AF159)*$E$179</f>
        <v>0</v>
      </c>
    </row>
    <row r="160" customFormat="false" ht="14.25" hidden="false" customHeight="true" outlineLevel="0" collapsed="false">
      <c r="B160" s="21" t="str">
        <f aca="false">IF(Summary!R33="","",Summary!R33)</f>
        <v/>
      </c>
      <c r="G160" s="9" t="str">
        <f aca="false">001_MikiZiso3!$CG24</f>
        <v>Portugal</v>
      </c>
      <c r="H160" s="55"/>
      <c r="I160" s="55"/>
      <c r="J160" s="10" t="n">
        <f aca="false">COUNTIF($B$159:$B$162,G160)*$E$179</f>
        <v>0</v>
      </c>
      <c r="L160" s="9" t="str">
        <f aca="false">002_MikiZiso2!$CG24</f>
        <v>Austria</v>
      </c>
      <c r="M160" s="55"/>
      <c r="N160" s="55"/>
      <c r="O160" s="10" t="n">
        <f aca="false">COUNTIF($B$159:$B$162,L160)*$E$179</f>
        <v>0</v>
      </c>
      <c r="Q160" s="9" t="str">
        <f aca="false">003_Miki_Ziso!$CG24</f>
        <v>Turkey</v>
      </c>
      <c r="R160" s="55"/>
      <c r="S160" s="55"/>
      <c r="T160" s="10" t="n">
        <f aca="false">COUNTIF($B$159:$B$162,Q160)*$E$179</f>
        <v>0</v>
      </c>
      <c r="V160" s="9" t="str">
        <f aca="false">004_Nir1!$CG24</f>
        <v>Canada</v>
      </c>
      <c r="W160" s="55"/>
      <c r="X160" s="55"/>
      <c r="Y160" s="10" t="n">
        <f aca="false">COUNTIF($B$159:$B$162,V160)*$E$179</f>
        <v>0</v>
      </c>
      <c r="AA160" s="9" t="str">
        <f aca="false">005_Nir2!$CG24</f>
        <v>Jordan</v>
      </c>
      <c r="AB160" s="55"/>
      <c r="AC160" s="55"/>
      <c r="AD160" s="10" t="n">
        <f aca="false">COUNTIF($B$159:$B$162,AA160)*$E$179</f>
        <v>0</v>
      </c>
      <c r="AF160" s="9" t="str">
        <f aca="false">006_Nir3!$CG24</f>
        <v>Bosnia and Herzegovina</v>
      </c>
      <c r="AG160" s="55"/>
      <c r="AH160" s="55"/>
      <c r="AI160" s="10" t="n">
        <f aca="false">COUNTIF($B$159:$B$162,AF160)*$E$179</f>
        <v>0</v>
      </c>
    </row>
    <row r="161" customFormat="false" ht="14.25" hidden="false" customHeight="true" outlineLevel="0" collapsed="false">
      <c r="B161" s="21" t="str">
        <f aca="false">IF(Summary!R34="","",Summary!R34)</f>
        <v/>
      </c>
      <c r="G161" s="9" t="str">
        <f aca="false">001_MikiZiso3!$CG55</f>
        <v>France</v>
      </c>
      <c r="H161" s="55"/>
      <c r="I161" s="55"/>
      <c r="J161" s="10" t="n">
        <f aca="false">COUNTIF($B$159:$B$162,G161)*$E$179</f>
        <v>0</v>
      </c>
      <c r="L161" s="9" t="str">
        <f aca="false">002_MikiZiso2!$CG55</f>
        <v>France</v>
      </c>
      <c r="M161" s="55"/>
      <c r="N161" s="55"/>
      <c r="O161" s="10" t="n">
        <f aca="false">COUNTIF($B$159:$B$162,L161)*$E$179</f>
        <v>0</v>
      </c>
      <c r="Q161" s="9" t="str">
        <f aca="false">003_Miki_Ziso!$CG55</f>
        <v>England</v>
      </c>
      <c r="R161" s="55"/>
      <c r="S161" s="55"/>
      <c r="T161" s="10" t="n">
        <f aca="false">COUNTIF($B$159:$B$162,Q161)*$E$179</f>
        <v>0</v>
      </c>
      <c r="V161" s="9" t="str">
        <f aca="false">004_Nir1!$CG55</f>
        <v>Senegal</v>
      </c>
      <c r="W161" s="55"/>
      <c r="X161" s="55"/>
      <c r="Y161" s="10" t="n">
        <f aca="false">COUNTIF($B$159:$B$162,V161)*$E$179</f>
        <v>0</v>
      </c>
      <c r="AA161" s="9" t="str">
        <f aca="false">005_Nir2!$CG55</f>
        <v>Netherlands</v>
      </c>
      <c r="AB161" s="55"/>
      <c r="AC161" s="55"/>
      <c r="AD161" s="10" t="n">
        <f aca="false">COUNTIF($B$159:$B$162,AA161)*$E$179</f>
        <v>0</v>
      </c>
      <c r="AF161" s="9" t="str">
        <f aca="false">006_Nir3!$CG55</f>
        <v>Ghana</v>
      </c>
      <c r="AG161" s="55"/>
      <c r="AH161" s="55"/>
      <c r="AI161" s="10" t="n">
        <f aca="false">COUNTIF($B$159:$B$162,AF161)*$E$179</f>
        <v>0</v>
      </c>
    </row>
    <row r="162" customFormat="false" ht="14.25" hidden="false" customHeight="true" outlineLevel="0" collapsed="false">
      <c r="B162" s="21" t="str">
        <f aca="false">IF(Summary!R35="","",Summary!R35)</f>
        <v/>
      </c>
      <c r="G162" s="9" t="str">
        <f aca="false">001_MikiZiso3!$CG56</f>
        <v>Uruguay</v>
      </c>
      <c r="H162" s="55"/>
      <c r="I162" s="55"/>
      <c r="J162" s="10" t="n">
        <f aca="false">COUNTIF($B$159:$B$162,G162)*$E$179</f>
        <v>0</v>
      </c>
      <c r="L162" s="9" t="str">
        <f aca="false">002_MikiZiso2!$CG56</f>
        <v>Argentina</v>
      </c>
      <c r="M162" s="55"/>
      <c r="N162" s="55"/>
      <c r="O162" s="10" t="n">
        <f aca="false">COUNTIF($B$159:$B$162,L162)*$E$179</f>
        <v>0</v>
      </c>
      <c r="Q162" s="9" t="str">
        <f aca="false">003_Miki_Ziso!$CG56</f>
        <v>Colombia</v>
      </c>
      <c r="R162" s="55"/>
      <c r="S162" s="55"/>
      <c r="T162" s="10" t="n">
        <f aca="false">COUNTIF($B$159:$B$162,Q162)*$E$179</f>
        <v>0</v>
      </c>
      <c r="V162" s="9" t="str">
        <f aca="false">004_Nir1!$CG56</f>
        <v>Austria</v>
      </c>
      <c r="W162" s="55"/>
      <c r="X162" s="55"/>
      <c r="Y162" s="10" t="n">
        <f aca="false">COUNTIF($B$159:$B$162,V162)*$E$179</f>
        <v>0</v>
      </c>
      <c r="AA162" s="9" t="str">
        <f aca="false">005_Nir2!$CG56</f>
        <v>Belgium</v>
      </c>
      <c r="AB162" s="55"/>
      <c r="AC162" s="55"/>
      <c r="AD162" s="10" t="n">
        <f aca="false">COUNTIF($B$159:$B$162,AA162)*$E$179</f>
        <v>0</v>
      </c>
      <c r="AF162" s="9" t="str">
        <f aca="false">006_Nir3!$CG56</f>
        <v>Uzbekistan</v>
      </c>
      <c r="AG162" s="55"/>
      <c r="AH162" s="55"/>
      <c r="AI162" s="10" t="n">
        <f aca="false">COUNTIF($B$159:$B$162,AF162)*$E$179</f>
        <v>0</v>
      </c>
    </row>
    <row r="163" customFormat="false" ht="14.25" hidden="false" customHeight="true" outlineLevel="0" collapsed="false">
      <c r="B163" s="21"/>
      <c r="G163" s="9"/>
      <c r="H163" s="55"/>
      <c r="I163" s="55"/>
      <c r="J163" s="55"/>
      <c r="L163" s="9"/>
      <c r="M163" s="55"/>
      <c r="N163" s="55"/>
      <c r="O163" s="55"/>
      <c r="Q163" s="9"/>
      <c r="R163" s="55"/>
      <c r="S163" s="55"/>
      <c r="T163" s="55"/>
      <c r="V163" s="9"/>
      <c r="W163" s="55"/>
      <c r="X163" s="55"/>
      <c r="Y163" s="55"/>
      <c r="AA163" s="9"/>
      <c r="AB163" s="55"/>
      <c r="AC163" s="55"/>
      <c r="AD163" s="55"/>
      <c r="AF163" s="9"/>
      <c r="AG163" s="55"/>
      <c r="AH163" s="55"/>
      <c r="AI163" s="55"/>
    </row>
    <row r="164" customFormat="false" ht="14.25" hidden="false" customHeight="true" outlineLevel="0" collapsed="false">
      <c r="B164" s="56" t="s">
        <v>44</v>
      </c>
      <c r="G164" s="57" t="s">
        <v>44</v>
      </c>
      <c r="H164" s="55"/>
      <c r="I164" s="55"/>
      <c r="J164" s="51" t="n">
        <f aca="false">SUM(J165:J166)</f>
        <v>0</v>
      </c>
      <c r="K164" s="59"/>
      <c r="L164" s="60" t="s">
        <v>44</v>
      </c>
      <c r="M164" s="61"/>
      <c r="N164" s="61"/>
      <c r="O164" s="51" t="n">
        <f aca="false">SUM(O165:O166)</f>
        <v>0</v>
      </c>
      <c r="P164" s="59"/>
      <c r="Q164" s="60" t="s">
        <v>44</v>
      </c>
      <c r="R164" s="61"/>
      <c r="S164" s="61"/>
      <c r="T164" s="51" t="n">
        <f aca="false">SUM(T165:T166)</f>
        <v>0</v>
      </c>
      <c r="U164" s="59"/>
      <c r="V164" s="60" t="s">
        <v>44</v>
      </c>
      <c r="W164" s="61"/>
      <c r="X164" s="61"/>
      <c r="Y164" s="51" t="n">
        <f aca="false">SUM(Y165:Y166)</f>
        <v>0</v>
      </c>
      <c r="Z164" s="59"/>
      <c r="AA164" s="60" t="s">
        <v>44</v>
      </c>
      <c r="AB164" s="61"/>
      <c r="AC164" s="61"/>
      <c r="AD164" s="51" t="n">
        <f aca="false">SUM(AD165:AD166)</f>
        <v>0</v>
      </c>
      <c r="AE164" s="59"/>
      <c r="AF164" s="60" t="s">
        <v>44</v>
      </c>
      <c r="AG164" s="61"/>
      <c r="AH164" s="61"/>
      <c r="AI164" s="51" t="n">
        <f aca="false">SUM(AI165:AI166)</f>
        <v>0</v>
      </c>
    </row>
    <row r="165" customFormat="false" ht="14.25" hidden="false" customHeight="true" outlineLevel="0" collapsed="false">
      <c r="B165" s="21" t="str">
        <f aca="false">IF(Summary!R38="","",Summary!R38)</f>
        <v/>
      </c>
      <c r="G165" s="9" t="str">
        <f aca="false">001_MikiZiso3!$CN37</f>
        <v>Norway</v>
      </c>
      <c r="H165" s="55"/>
      <c r="I165" s="55"/>
      <c r="J165" s="10" t="n">
        <f aca="false">COUNTIF($B$165:$B$166,G165)*$E$180</f>
        <v>0</v>
      </c>
      <c r="L165" s="9" t="str">
        <f aca="false">002_MikiZiso2!$CN37</f>
        <v>Germany</v>
      </c>
      <c r="M165" s="55"/>
      <c r="N165" s="55"/>
      <c r="O165" s="10" t="n">
        <f aca="false">COUNTIF($B$165:$B$166,L165)*$E$180</f>
        <v>0</v>
      </c>
      <c r="Q165" s="9" t="str">
        <f aca="false">003_Miki_Ziso!$CN37</f>
        <v>Brazil</v>
      </c>
      <c r="R165" s="55"/>
      <c r="S165" s="55"/>
      <c r="T165" s="10" t="n">
        <f aca="false">COUNTIF($B$165:$B$166,Q165)*$E$180</f>
        <v>0</v>
      </c>
      <c r="V165" s="9" t="str">
        <f aca="false">004_Nir1!$CN37</f>
        <v>Canada</v>
      </c>
      <c r="W165" s="55"/>
      <c r="X165" s="55"/>
      <c r="Y165" s="10" t="n">
        <f aca="false">COUNTIF($B$165:$B$166,V165)*$E$180</f>
        <v>0</v>
      </c>
      <c r="AA165" s="9" t="str">
        <f aca="false">005_Nir2!$CN37</f>
        <v>Tunisia</v>
      </c>
      <c r="AB165" s="55"/>
      <c r="AC165" s="55"/>
      <c r="AD165" s="10" t="n">
        <f aca="false">COUNTIF($B$165:$B$166,AA165)*$E$180</f>
        <v>0</v>
      </c>
      <c r="AF165" s="9" t="str">
        <f aca="false">006_Nir3!$CN37</f>
        <v>Bosnia and Herzegovina</v>
      </c>
      <c r="AG165" s="55"/>
      <c r="AH165" s="55"/>
      <c r="AI165" s="10" t="n">
        <f aca="false">COUNTIF($B$165:$B$166,AF165)*$E$180</f>
        <v>0</v>
      </c>
    </row>
    <row r="166" customFormat="false" ht="14.25" hidden="false" customHeight="true" outlineLevel="0" collapsed="false">
      <c r="B166" s="21" t="str">
        <f aca="false">IF(Summary!R39="","",Summary!R39)</f>
        <v/>
      </c>
      <c r="G166" s="9" t="str">
        <f aca="false">001_MikiZiso3!$CN38</f>
        <v>France</v>
      </c>
      <c r="H166" s="55"/>
      <c r="I166" s="55"/>
      <c r="J166" s="10" t="n">
        <f aca="false">COUNTIF($B$165:$B$166,G166)*$E$180</f>
        <v>0</v>
      </c>
      <c r="L166" s="9" t="str">
        <f aca="false">002_MikiZiso2!$CN38</f>
        <v>France</v>
      </c>
      <c r="M166" s="55"/>
      <c r="N166" s="55"/>
      <c r="O166" s="10" t="n">
        <f aca="false">COUNTIF($B$165:$B$166,L166)*$E$180</f>
        <v>0</v>
      </c>
      <c r="Q166" s="9" t="str">
        <f aca="false">003_Miki_Ziso!$CN38</f>
        <v>Colombia</v>
      </c>
      <c r="R166" s="55"/>
      <c r="S166" s="55"/>
      <c r="T166" s="10" t="n">
        <f aca="false">COUNTIF($B$165:$B$166,Q166)*$E$180</f>
        <v>0</v>
      </c>
      <c r="V166" s="9" t="str">
        <f aca="false">004_Nir1!$CN38</f>
        <v>Senegal</v>
      </c>
      <c r="W166" s="55"/>
      <c r="X166" s="55"/>
      <c r="Y166" s="10" t="n">
        <f aca="false">COUNTIF($B$165:$B$166,V166)*$E$180</f>
        <v>0</v>
      </c>
      <c r="AA166" s="9" t="str">
        <f aca="false">005_Nir2!$CN38</f>
        <v>Belgium</v>
      </c>
      <c r="AB166" s="55"/>
      <c r="AC166" s="55"/>
      <c r="AD166" s="10" t="n">
        <f aca="false">COUNTIF($B$165:$B$166,AA166)*$E$180</f>
        <v>0</v>
      </c>
      <c r="AF166" s="9" t="str">
        <f aca="false">006_Nir3!$CN38</f>
        <v>Uzbekistan</v>
      </c>
      <c r="AG166" s="55"/>
      <c r="AH166" s="55"/>
      <c r="AI166" s="10" t="n">
        <f aca="false">COUNTIF($B$165:$B$166,AF166)*$E$180</f>
        <v>0</v>
      </c>
    </row>
    <row r="167" customFormat="false" ht="14.25" hidden="false" customHeight="true" outlineLevel="0" collapsed="false">
      <c r="B167" s="21"/>
      <c r="G167" s="9"/>
      <c r="H167" s="55"/>
      <c r="I167" s="55"/>
      <c r="J167" s="55"/>
      <c r="L167" s="9"/>
      <c r="M167" s="55"/>
      <c r="N167" s="55"/>
      <c r="O167" s="55"/>
      <c r="Q167" s="9"/>
      <c r="R167" s="55"/>
      <c r="S167" s="55"/>
      <c r="T167" s="55"/>
      <c r="V167" s="9"/>
      <c r="W167" s="55"/>
      <c r="X167" s="55"/>
      <c r="Y167" s="55"/>
      <c r="AA167" s="9"/>
      <c r="AB167" s="55"/>
      <c r="AC167" s="55"/>
      <c r="AD167" s="55"/>
      <c r="AF167" s="9"/>
      <c r="AG167" s="55"/>
      <c r="AH167" s="55"/>
      <c r="AI167" s="55"/>
    </row>
    <row r="168" customFormat="false" ht="14.25" hidden="false" customHeight="true" outlineLevel="0" collapsed="false">
      <c r="B168" s="56" t="s">
        <v>49</v>
      </c>
      <c r="G168" s="57" t="s">
        <v>49</v>
      </c>
      <c r="H168" s="55"/>
      <c r="I168" s="55"/>
      <c r="J168" s="51" t="n">
        <f aca="false">SUM(J169)</f>
        <v>0</v>
      </c>
      <c r="K168" s="59"/>
      <c r="L168" s="60" t="s">
        <v>49</v>
      </c>
      <c r="M168" s="61"/>
      <c r="N168" s="61"/>
      <c r="O168" s="51" t="n">
        <f aca="false">SUM(O169)</f>
        <v>0</v>
      </c>
      <c r="P168" s="59"/>
      <c r="Q168" s="60" t="s">
        <v>49</v>
      </c>
      <c r="R168" s="61"/>
      <c r="S168" s="61"/>
      <c r="T168" s="51" t="n">
        <f aca="false">SUM(T169)</f>
        <v>0</v>
      </c>
      <c r="U168" s="59"/>
      <c r="V168" s="60" t="s">
        <v>49</v>
      </c>
      <c r="W168" s="61"/>
      <c r="X168" s="61"/>
      <c r="Y168" s="51" t="n">
        <f aca="false">SUM(Y169)</f>
        <v>0</v>
      </c>
      <c r="Z168" s="59"/>
      <c r="AA168" s="60" t="s">
        <v>49</v>
      </c>
      <c r="AB168" s="61"/>
      <c r="AC168" s="61"/>
      <c r="AD168" s="51" t="n">
        <f aca="false">SUM(AD169)</f>
        <v>0</v>
      </c>
      <c r="AE168" s="59"/>
      <c r="AF168" s="60" t="s">
        <v>49</v>
      </c>
      <c r="AG168" s="61"/>
      <c r="AH168" s="61"/>
      <c r="AI168" s="51" t="n">
        <f aca="false">SUM(AI169)</f>
        <v>0</v>
      </c>
    </row>
    <row r="169" customFormat="false" ht="14.25" hidden="false" customHeight="true" outlineLevel="0" collapsed="false">
      <c r="B169" s="21" t="str">
        <f aca="false">IF(Summary!R42="","",Summary!R42)</f>
        <v/>
      </c>
      <c r="G169" s="9" t="str">
        <f aca="false">001_MikiZiso3!$CM47</f>
        <v>France</v>
      </c>
      <c r="H169" s="55"/>
      <c r="I169" s="55"/>
      <c r="J169" s="10" t="n">
        <f aca="false">COUNTIF(B169,G169)*$E$181</f>
        <v>0</v>
      </c>
      <c r="L169" s="9" t="str">
        <f aca="false">002_MikiZiso2!$CM47</f>
        <v>Germany</v>
      </c>
      <c r="M169" s="55"/>
      <c r="N169" s="55"/>
      <c r="O169" s="10" t="n">
        <f aca="false">COUNTIF(H169,L169)*$E$181</f>
        <v>0</v>
      </c>
      <c r="Q169" s="9" t="str">
        <f aca="false">003_Miki_Ziso!$CM47</f>
        <v>Brazil</v>
      </c>
      <c r="R169" s="55"/>
      <c r="S169" s="55"/>
      <c r="T169" s="10" t="n">
        <f aca="false">COUNTIF(L169,Q169)*$E$181</f>
        <v>0</v>
      </c>
      <c r="V169" s="9" t="str">
        <f aca="false">004_Nir1!$CM47</f>
        <v>Senegal</v>
      </c>
      <c r="W169" s="55"/>
      <c r="X169" s="55"/>
      <c r="Y169" s="10" t="n">
        <f aca="false">COUNTIF(Q169,V169)*$E$181</f>
        <v>0</v>
      </c>
      <c r="AA169" s="9" t="str">
        <f aca="false">005_Nir2!$CM47</f>
        <v>Belgium</v>
      </c>
      <c r="AB169" s="55"/>
      <c r="AC169" s="55"/>
      <c r="AD169" s="10" t="n">
        <f aca="false">COUNTIF(V169,AA169)*$E$181</f>
        <v>0</v>
      </c>
      <c r="AF169" s="9" t="str">
        <f aca="false">006_Nir3!$CM47</f>
        <v>Uzbekistan</v>
      </c>
      <c r="AG169" s="55"/>
      <c r="AH169" s="55"/>
      <c r="AI169" s="10" t="n">
        <f aca="false">COUNTIF(AA169,AF169)*$E$181</f>
        <v>0</v>
      </c>
    </row>
    <row r="173" customFormat="false" ht="14.25" hidden="false" customHeight="true" outlineLevel="0" collapsed="false">
      <c r="L173" s="6" t="s">
        <v>233</v>
      </c>
    </row>
    <row r="174" customFormat="false" ht="14.25" hidden="false" customHeight="true" outlineLevel="0" collapsed="false">
      <c r="A174" s="6"/>
      <c r="B174" s="40" t="s">
        <v>234</v>
      </c>
      <c r="C174" s="6"/>
      <c r="D174" s="6" t="s">
        <v>235</v>
      </c>
      <c r="E174" s="6"/>
      <c r="F174" s="6"/>
      <c r="G174" s="1" t="s">
        <v>236</v>
      </c>
      <c r="H174" s="6"/>
      <c r="I174" s="6"/>
      <c r="K174" s="6"/>
      <c r="L174" s="6" t="s">
        <v>237</v>
      </c>
      <c r="M174" s="6" t="s">
        <v>238</v>
      </c>
      <c r="N174" s="6" t="s">
        <v>239</v>
      </c>
      <c r="O174" s="6" t="s">
        <v>240</v>
      </c>
      <c r="P174" s="6" t="s">
        <v>241</v>
      </c>
    </row>
    <row r="175" customFormat="false" ht="14.25" hidden="false" customHeight="true" outlineLevel="0" collapsed="false">
      <c r="A175" s="6"/>
      <c r="B175" s="6" t="s">
        <v>242</v>
      </c>
      <c r="C175" s="6" t="n">
        <v>3</v>
      </c>
      <c r="D175" s="6" t="n">
        <v>1E-010</v>
      </c>
      <c r="E175" s="6" t="n">
        <f aca="false">C175+D175</f>
        <v>3.0000000001</v>
      </c>
      <c r="F175" s="6"/>
      <c r="G175" s="6" t="n">
        <f aca="false">C175*72</f>
        <v>216</v>
      </c>
      <c r="H175" s="6"/>
      <c r="J175" s="6"/>
      <c r="K175" s="6" t="n">
        <v>3</v>
      </c>
      <c r="L175" s="7" t="n">
        <v>58.6285714675714</v>
      </c>
      <c r="M175" s="7" t="n">
        <v>77.00000004</v>
      </c>
      <c r="N175" s="7" t="n">
        <v>43.00000002</v>
      </c>
      <c r="O175" s="6" t="n">
        <f aca="false">M175-N175</f>
        <v>34.00000002</v>
      </c>
      <c r="P175" s="62" t="n">
        <f aca="false">O175</f>
        <v>34.00000002</v>
      </c>
      <c r="T175" s="63" t="s">
        <v>243</v>
      </c>
      <c r="U175" s="64" t="s">
        <v>244</v>
      </c>
      <c r="V175" s="65"/>
      <c r="W175" s="64" t="s">
        <v>245</v>
      </c>
      <c r="X175" s="65"/>
      <c r="Y175" s="66" t="s">
        <v>246</v>
      </c>
      <c r="Z175" s="65"/>
      <c r="AA175" s="6"/>
      <c r="AB175" s="6"/>
    </row>
    <row r="176" customFormat="false" ht="15" hidden="false" customHeight="true" outlineLevel="0" collapsed="false">
      <c r="A176" s="6"/>
      <c r="B176" s="6" t="s">
        <v>247</v>
      </c>
      <c r="C176" s="6" t="n">
        <v>2</v>
      </c>
      <c r="D176" s="6" t="n">
        <v>1E-008</v>
      </c>
      <c r="E176" s="6" t="n">
        <f aca="false">C176+D176</f>
        <v>2.00000001</v>
      </c>
      <c r="F176" s="6"/>
      <c r="G176" s="6" t="n">
        <f aca="false">C176*72</f>
        <v>144</v>
      </c>
      <c r="H176" s="6" t="n">
        <f aca="false">G176+G175</f>
        <v>360</v>
      </c>
      <c r="I176" s="6" t="n">
        <f aca="false">P175*2</f>
        <v>68.00000004</v>
      </c>
      <c r="J176" s="6"/>
      <c r="K176" s="6" t="n">
        <v>2</v>
      </c>
      <c r="L176" s="7" t="n">
        <v>3.9</v>
      </c>
      <c r="M176" s="7" t="n">
        <v>7</v>
      </c>
      <c r="N176" s="7" t="n">
        <v>1</v>
      </c>
      <c r="O176" s="6" t="n">
        <f aca="false">M176-N176</f>
        <v>6</v>
      </c>
      <c r="P176" s="6"/>
      <c r="T176" s="67"/>
      <c r="U176" s="68" t="s">
        <v>248</v>
      </c>
      <c r="V176" s="69" t="s">
        <v>249</v>
      </c>
      <c r="W176" s="68" t="s">
        <v>248</v>
      </c>
      <c r="X176" s="69" t="s">
        <v>84</v>
      </c>
      <c r="Y176" s="68" t="s">
        <v>248</v>
      </c>
      <c r="Z176" s="69" t="s">
        <v>84</v>
      </c>
      <c r="AA176" s="6" t="s">
        <v>237</v>
      </c>
      <c r="AB176" s="6" t="s">
        <v>250</v>
      </c>
    </row>
    <row r="177" customFormat="false" ht="15" hidden="false" customHeight="true" outlineLevel="0" collapsed="false">
      <c r="A177" s="6"/>
      <c r="B177" s="6" t="s">
        <v>6</v>
      </c>
      <c r="C177" s="6" t="n">
        <v>5</v>
      </c>
      <c r="D177" s="6" t="n">
        <v>1E-008</v>
      </c>
      <c r="E177" s="6" t="n">
        <f aca="false">C177+D177</f>
        <v>5.00000001</v>
      </c>
      <c r="F177" s="6"/>
      <c r="G177" s="6" t="n">
        <f aca="false">C177*32</f>
        <v>160</v>
      </c>
      <c r="H177" s="6"/>
      <c r="I177" s="6"/>
      <c r="J177" s="6"/>
      <c r="K177" s="6"/>
      <c r="L177" s="6"/>
      <c r="M177" s="6"/>
      <c r="N177" s="6"/>
      <c r="O177" s="6"/>
      <c r="P177" s="6"/>
      <c r="T177" s="70" t="s">
        <v>251</v>
      </c>
      <c r="U177" s="71" t="n">
        <v>3.9</v>
      </c>
      <c r="V177" s="72" t="n">
        <v>0.108333333333333</v>
      </c>
      <c r="W177" s="73" t="n">
        <v>1</v>
      </c>
      <c r="X177" s="74" t="n">
        <v>4</v>
      </c>
      <c r="Y177" s="75" t="n">
        <v>7</v>
      </c>
      <c r="Z177" s="74" t="n">
        <v>5</v>
      </c>
      <c r="AA177" s="6" t="n">
        <v>7.8</v>
      </c>
      <c r="AB177" s="33" t="n">
        <v>12</v>
      </c>
    </row>
    <row r="178" customFormat="false" ht="14.25" hidden="false" customHeight="true" outlineLevel="0" collapsed="false">
      <c r="A178" s="6"/>
      <c r="B178" s="6" t="s">
        <v>7</v>
      </c>
      <c r="C178" s="6" t="n">
        <v>8</v>
      </c>
      <c r="D178" s="6" t="n">
        <v>1E-006</v>
      </c>
      <c r="E178" s="6" t="n">
        <f aca="false">C178+D178</f>
        <v>8.000001</v>
      </c>
      <c r="F178" s="6"/>
      <c r="G178" s="6" t="n">
        <f aca="false">C178*16</f>
        <v>128</v>
      </c>
      <c r="H178" s="6"/>
      <c r="I178" s="6" t="n">
        <f aca="false">P178*2</f>
        <v>36.000006</v>
      </c>
      <c r="J178" s="6"/>
      <c r="K178" s="6" t="n">
        <v>6</v>
      </c>
      <c r="L178" s="7" t="n">
        <v>11.7714305333333</v>
      </c>
      <c r="M178" s="7" t="n">
        <v>13.0000021666667</v>
      </c>
      <c r="N178" s="7" t="n">
        <v>10.0000016666667</v>
      </c>
      <c r="O178" s="62" t="n">
        <f aca="false">M178-N178</f>
        <v>3.0000005</v>
      </c>
      <c r="P178" s="62" t="n">
        <f aca="false">O178*K178</f>
        <v>18.000003</v>
      </c>
      <c r="T178" s="70" t="s">
        <v>7</v>
      </c>
      <c r="U178" s="71" t="n">
        <v>11.7714305333333</v>
      </c>
      <c r="V178" s="72" t="n">
        <v>0.735714408333334</v>
      </c>
      <c r="W178" s="73" t="n">
        <v>10.0000016666667</v>
      </c>
      <c r="X178" s="74" t="n">
        <v>3</v>
      </c>
      <c r="Y178" s="75" t="n">
        <v>13.0000021666667</v>
      </c>
      <c r="Z178" s="74" t="n">
        <v>10</v>
      </c>
      <c r="AA178" s="6" t="n">
        <v>70.6285832000001</v>
      </c>
      <c r="AB178" s="33" t="n">
        <v>18.000003</v>
      </c>
    </row>
    <row r="179" customFormat="false" ht="14.25" hidden="false" customHeight="true" outlineLevel="0" collapsed="false">
      <c r="A179" s="6"/>
      <c r="B179" s="6" t="s">
        <v>26</v>
      </c>
      <c r="C179" s="6" t="n">
        <v>18</v>
      </c>
      <c r="D179" s="6" t="n">
        <v>0.0001</v>
      </c>
      <c r="E179" s="6" t="n">
        <f aca="false">C179+D179</f>
        <v>18.0001</v>
      </c>
      <c r="F179" s="6"/>
      <c r="G179" s="6" t="n">
        <f aca="false">C179*8</f>
        <v>144</v>
      </c>
      <c r="H179" s="6"/>
      <c r="I179" s="6" t="n">
        <f aca="false">P179*2</f>
        <v>60.0006</v>
      </c>
      <c r="J179" s="6"/>
      <c r="K179" s="6" t="n">
        <v>10</v>
      </c>
      <c r="L179" s="7" t="n">
        <v>5.55719842857143</v>
      </c>
      <c r="M179" s="7" t="n">
        <v>7.00007</v>
      </c>
      <c r="N179" s="7" t="n">
        <v>4.00004</v>
      </c>
      <c r="O179" s="62" t="n">
        <f aca="false">M179-N179</f>
        <v>3.00003</v>
      </c>
      <c r="P179" s="62" t="n">
        <f aca="false">O179*K179</f>
        <v>30.0003</v>
      </c>
      <c r="T179" s="70" t="s">
        <v>26</v>
      </c>
      <c r="U179" s="71" t="n">
        <v>5.55719842857143</v>
      </c>
      <c r="V179" s="72" t="n">
        <v>0.694649803571429</v>
      </c>
      <c r="W179" s="73" t="n">
        <v>4.00004</v>
      </c>
      <c r="X179" s="74" t="n">
        <v>3</v>
      </c>
      <c r="Y179" s="75" t="n">
        <v>7.00007</v>
      </c>
      <c r="Z179" s="74" t="n">
        <v>1</v>
      </c>
      <c r="AA179" s="6" t="n">
        <v>55.5719842857143</v>
      </c>
      <c r="AB179" s="33" t="n">
        <v>30.0003</v>
      </c>
    </row>
    <row r="180" customFormat="false" ht="14.25" hidden="false" customHeight="true" outlineLevel="0" collapsed="false">
      <c r="A180" s="6"/>
      <c r="B180" s="6" t="s">
        <v>37</v>
      </c>
      <c r="C180" s="6" t="n">
        <v>25</v>
      </c>
      <c r="D180" s="6" t="n">
        <v>0.001</v>
      </c>
      <c r="E180" s="6" t="n">
        <f aca="false">C180+D180</f>
        <v>25.001</v>
      </c>
      <c r="F180" s="6"/>
      <c r="G180" s="6" t="n">
        <f aca="false">C180*4</f>
        <v>100</v>
      </c>
      <c r="H180" s="6"/>
      <c r="I180" s="6" t="n">
        <f aca="false">P180*2</f>
        <v>72.006</v>
      </c>
      <c r="J180" s="6"/>
      <c r="K180" s="6" t="n">
        <v>12</v>
      </c>
      <c r="L180" s="7" t="n">
        <v>2.27161785714285</v>
      </c>
      <c r="M180" s="7" t="n">
        <v>4.00033333333333</v>
      </c>
      <c r="N180" s="7" t="n">
        <v>1.00008333333333</v>
      </c>
      <c r="O180" s="62" t="n">
        <f aca="false">M180-N180</f>
        <v>3.00025</v>
      </c>
      <c r="P180" s="62" t="n">
        <f aca="false">O180*K180</f>
        <v>36.003</v>
      </c>
      <c r="T180" s="70" t="s">
        <v>37</v>
      </c>
      <c r="U180" s="71" t="n">
        <v>2.27161785714285</v>
      </c>
      <c r="V180" s="72" t="n">
        <v>0.567904464285714</v>
      </c>
      <c r="W180" s="73" t="n">
        <v>1.00008333333333</v>
      </c>
      <c r="X180" s="74" t="n">
        <v>6</v>
      </c>
      <c r="Y180" s="75" t="n">
        <v>4.00033333333333</v>
      </c>
      <c r="Z180" s="74" t="n">
        <v>3</v>
      </c>
      <c r="AA180" s="6" t="n">
        <v>27.2594142857143</v>
      </c>
      <c r="AB180" s="33" t="n">
        <v>36.003</v>
      </c>
    </row>
    <row r="181" customFormat="false" ht="14.25" hidden="false" customHeight="true" outlineLevel="0" collapsed="false">
      <c r="A181" s="6"/>
      <c r="B181" s="6" t="s">
        <v>252</v>
      </c>
      <c r="C181" s="6" t="n">
        <v>30</v>
      </c>
      <c r="D181" s="6" t="n">
        <v>0.01</v>
      </c>
      <c r="E181" s="6" t="n">
        <f aca="false">C181+D181</f>
        <v>30.01</v>
      </c>
      <c r="F181" s="6"/>
      <c r="G181" s="6" t="n">
        <f aca="false">C181*2</f>
        <v>60</v>
      </c>
      <c r="H181" s="6"/>
      <c r="I181" s="6" t="n">
        <f aca="false">P181*2</f>
        <v>60.0399999999999</v>
      </c>
      <c r="J181" s="6"/>
      <c r="K181" s="6" t="n">
        <v>15</v>
      </c>
      <c r="L181" s="7" t="n">
        <v>0.6004</v>
      </c>
      <c r="M181" s="7" t="n">
        <v>2.00133333333333</v>
      </c>
      <c r="N181" s="7" t="n">
        <v>0</v>
      </c>
      <c r="O181" s="62" t="n">
        <f aca="false">M181-N181</f>
        <v>2.00133333333333</v>
      </c>
      <c r="P181" s="62" t="n">
        <f aca="false">O181*K181</f>
        <v>30.02</v>
      </c>
      <c r="T181" s="70" t="s">
        <v>253</v>
      </c>
      <c r="U181" s="71" t="n">
        <v>0.6004</v>
      </c>
      <c r="V181" s="72" t="n">
        <v>0.3002</v>
      </c>
      <c r="W181" s="73" t="n">
        <v>0</v>
      </c>
      <c r="X181" s="74" t="n">
        <v>31</v>
      </c>
      <c r="Y181" s="75" t="n">
        <v>2.00133333333333</v>
      </c>
      <c r="Z181" s="74" t="n">
        <v>3</v>
      </c>
      <c r="AA181" s="6" t="n">
        <v>9.006</v>
      </c>
      <c r="AB181" s="33" t="n">
        <v>30.02</v>
      </c>
    </row>
    <row r="182" customFormat="false" ht="14.25" hidden="false" customHeight="true" outlineLevel="0" collapsed="false">
      <c r="A182" s="6"/>
      <c r="B182" s="6" t="s">
        <v>254</v>
      </c>
      <c r="C182" s="6" t="n">
        <v>40</v>
      </c>
      <c r="D182" s="62" t="n">
        <v>0.1</v>
      </c>
      <c r="E182" s="6" t="n">
        <f aca="false">C182+D182</f>
        <v>40.1</v>
      </c>
      <c r="F182" s="6"/>
      <c r="G182" s="6" t="n">
        <f aca="false">C182*1</f>
        <v>40</v>
      </c>
      <c r="H182" s="6"/>
      <c r="I182" s="6" t="n">
        <f aca="false">P182*2</f>
        <v>40.2</v>
      </c>
      <c r="J182" s="6"/>
      <c r="K182" s="6" t="n">
        <v>20</v>
      </c>
      <c r="L182" s="7" t="n">
        <v>0.0574285714285714</v>
      </c>
      <c r="M182" s="7" t="n">
        <v>1.005</v>
      </c>
      <c r="N182" s="7" t="n">
        <v>0</v>
      </c>
      <c r="O182" s="62" t="n">
        <f aca="false">M182-N182</f>
        <v>1.005</v>
      </c>
      <c r="P182" s="62" t="n">
        <f aca="false">O182*K182</f>
        <v>20.1</v>
      </c>
      <c r="T182" s="76" t="s">
        <v>49</v>
      </c>
      <c r="U182" s="77" t="n">
        <v>0.0574285714285714</v>
      </c>
      <c r="V182" s="78" t="n">
        <v>0.0574285714285714</v>
      </c>
      <c r="W182" s="79" t="n">
        <v>0</v>
      </c>
      <c r="X182" s="80" t="n">
        <v>66</v>
      </c>
      <c r="Y182" s="81" t="n">
        <v>1.005</v>
      </c>
      <c r="Z182" s="80" t="n">
        <v>4</v>
      </c>
      <c r="AA182" s="6" t="n">
        <v>1.14857142857143</v>
      </c>
      <c r="AB182" s="33" t="n">
        <v>20.1</v>
      </c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4.25" hidden="false" customHeight="true" outlineLevel="0" collapsed="false">
      <c r="A184" s="6"/>
      <c r="B184" s="6"/>
      <c r="C184" s="40" t="s">
        <v>255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4.25" hidden="false" customHeight="true" outlineLevel="0" collapsed="false">
      <c r="A185" s="6"/>
      <c r="B185" s="40" t="s">
        <v>256</v>
      </c>
      <c r="C185" s="7" t="n">
        <v>32</v>
      </c>
      <c r="D185" s="7" t="n">
        <v>16</v>
      </c>
      <c r="E185" s="7" t="n">
        <v>8</v>
      </c>
      <c r="F185" s="7" t="n">
        <v>4</v>
      </c>
      <c r="G185" s="7" t="n">
        <v>2</v>
      </c>
      <c r="H185" s="7" t="n">
        <v>1</v>
      </c>
      <c r="I185" s="6"/>
      <c r="J185" s="6"/>
      <c r="K185" s="6"/>
      <c r="L185" s="7"/>
      <c r="M185" s="7"/>
      <c r="N185" s="6"/>
      <c r="O185" s="6"/>
      <c r="P185" s="6"/>
    </row>
    <row r="186" customFormat="false" ht="14.25" hidden="false" customHeight="true" outlineLevel="0" collapsed="false">
      <c r="A186" s="6"/>
      <c r="B186" s="6" t="s">
        <v>257</v>
      </c>
      <c r="C186" s="6" t="n">
        <f aca="false">COUNTIF($G$97:$XFD$128,$B186)</f>
        <v>3</v>
      </c>
      <c r="D186" s="6" t="n">
        <f aca="false">COUNTIF($G$131:$XFD$146,$B186)</f>
        <v>2</v>
      </c>
      <c r="E186" s="6" t="n">
        <f aca="false">COUNTIF($G$149:$XFD$156,$B186)</f>
        <v>2</v>
      </c>
      <c r="F186" s="6" t="n">
        <f aca="false">COUNTIF($G$159:$XFD$162,$B186)</f>
        <v>2</v>
      </c>
      <c r="G186" s="6" t="n">
        <f aca="false">COUNTIF($G$165:$XFD$166,$B186)</f>
        <v>2</v>
      </c>
      <c r="H186" s="6" t="n">
        <f aca="false">COUNTIF($G$169:$XFD$169,$B186)</f>
        <v>1</v>
      </c>
      <c r="I186" s="6"/>
      <c r="J186" s="6"/>
      <c r="K186" s="6"/>
      <c r="L186" s="6"/>
      <c r="M186" s="6"/>
      <c r="N186" s="6"/>
      <c r="O186" s="6"/>
      <c r="P186" s="6"/>
    </row>
    <row r="187" customFormat="false" ht="14.25" hidden="false" customHeight="true" outlineLevel="0" collapsed="false">
      <c r="A187" s="6"/>
      <c r="B187" s="6" t="s">
        <v>258</v>
      </c>
      <c r="C187" s="6" t="n">
        <f aca="false">COUNTIF($G$97:$XFD$128,$B187)</f>
        <v>4</v>
      </c>
      <c r="D187" s="6" t="n">
        <f aca="false">COUNTIF($G$131:$XFD$146,$B187)</f>
        <v>1</v>
      </c>
      <c r="E187" s="6" t="n">
        <f aca="false">COUNTIF($G$149:$XFD$156,$B187)</f>
        <v>1</v>
      </c>
      <c r="F187" s="6" t="n">
        <f aca="false">COUNTIF($G$159:$XFD$162,$B187)</f>
        <v>0</v>
      </c>
      <c r="G187" s="6" t="n">
        <f aca="false">COUNTIF($G$165:$XFD$166,$B187)</f>
        <v>0</v>
      </c>
      <c r="H187" s="6" t="n">
        <f aca="false">COUNTIF($G$169:$XFD$169,$B187)</f>
        <v>0</v>
      </c>
      <c r="I187" s="6"/>
      <c r="J187" s="6"/>
      <c r="K187" s="6"/>
      <c r="L187" s="6"/>
      <c r="M187" s="6"/>
      <c r="N187" s="6"/>
      <c r="O187" s="6"/>
      <c r="P187" s="6"/>
    </row>
    <row r="188" customFormat="false" ht="14.25" hidden="false" customHeight="true" outlineLevel="0" collapsed="false">
      <c r="A188" s="6"/>
      <c r="B188" s="6" t="s">
        <v>259</v>
      </c>
      <c r="C188" s="6" t="n">
        <f aca="false">COUNTIF($G$97:$XFD$128,$B188)</f>
        <v>3</v>
      </c>
      <c r="D188" s="6" t="n">
        <f aca="false">COUNTIF($G$131:$XFD$146,$B188)</f>
        <v>2</v>
      </c>
      <c r="E188" s="6" t="n">
        <f aca="false">COUNTIF($G$149:$XFD$156,$B188)</f>
        <v>2</v>
      </c>
      <c r="F188" s="6" t="n">
        <f aca="false">COUNTIF($G$159:$XFD$162,$B188)</f>
        <v>1</v>
      </c>
      <c r="G188" s="6" t="n">
        <f aca="false">COUNTIF($G$165:$XFD$166,$B188)</f>
        <v>0</v>
      </c>
      <c r="H188" s="6" t="n">
        <f aca="false">COUNTIF($G$169:$XFD$169,$B188)</f>
        <v>0</v>
      </c>
      <c r="I188" s="6"/>
      <c r="J188" s="6"/>
      <c r="K188" s="6"/>
      <c r="L188" s="6"/>
      <c r="M188" s="6"/>
      <c r="N188" s="6"/>
      <c r="O188" s="6"/>
      <c r="P188" s="6"/>
    </row>
    <row r="189" customFormat="false" ht="14.25" hidden="false" customHeight="true" outlineLevel="0" collapsed="false">
      <c r="A189" s="6"/>
      <c r="B189" s="6" t="s">
        <v>260</v>
      </c>
      <c r="C189" s="6" t="n">
        <f aca="false">COUNTIF($G$97:$XFD$128,$B189)</f>
        <v>6</v>
      </c>
      <c r="D189" s="6" t="n">
        <f aca="false">COUNTIF($G$131:$XFD$146,$B189)</f>
        <v>4</v>
      </c>
      <c r="E189" s="6" t="n">
        <f aca="false">COUNTIF($G$149:$XFD$156,$B189)</f>
        <v>3</v>
      </c>
      <c r="F189" s="6" t="n">
        <f aca="false">COUNTIF($G$159:$XFD$162,$B189)</f>
        <v>1</v>
      </c>
      <c r="G189" s="6" t="n">
        <f aca="false">COUNTIF($G$165:$XFD$166,$B189)</f>
        <v>0</v>
      </c>
      <c r="H189" s="6" t="n">
        <f aca="false">COUNTIF($G$169:$XFD$169,$B189)</f>
        <v>0</v>
      </c>
      <c r="I189" s="6"/>
      <c r="J189" s="6"/>
      <c r="K189" s="6"/>
      <c r="L189" s="6"/>
      <c r="M189" s="6"/>
      <c r="N189" s="6"/>
      <c r="O189" s="6"/>
      <c r="P189" s="6"/>
    </row>
    <row r="190" customFormat="false" ht="14.25" hidden="false" customHeight="true" outlineLevel="0" collapsed="false">
      <c r="A190" s="6"/>
      <c r="B190" s="6" t="s">
        <v>261</v>
      </c>
      <c r="C190" s="6" t="n">
        <f aca="false">COUNTIF($G$97:$XFD$128,$B190)</f>
        <v>5</v>
      </c>
      <c r="D190" s="6" t="n">
        <f aca="false">COUNTIF($G$131:$XFD$146,$B190)</f>
        <v>3</v>
      </c>
      <c r="E190" s="6" t="n">
        <f aca="false">COUNTIF($G$149:$XFD$156,$B190)</f>
        <v>1</v>
      </c>
      <c r="F190" s="6" t="n">
        <f aca="false">COUNTIF($G$159:$XFD$162,$B190)</f>
        <v>1</v>
      </c>
      <c r="G190" s="6" t="n">
        <f aca="false">COUNTIF($G$165:$XFD$166,$B190)</f>
        <v>0</v>
      </c>
      <c r="H190" s="6" t="n">
        <f aca="false">COUNTIF($G$169:$XFD$169,$B190)</f>
        <v>0</v>
      </c>
      <c r="I190" s="6"/>
      <c r="J190" s="6"/>
      <c r="K190" s="6"/>
      <c r="L190" s="6"/>
      <c r="M190" s="6"/>
      <c r="N190" s="6"/>
      <c r="O190" s="6"/>
      <c r="P190" s="6"/>
    </row>
    <row r="191" customFormat="false" ht="14.25" hidden="false" customHeight="true" outlineLevel="0" collapsed="false">
      <c r="A191" s="6"/>
      <c r="B191" s="6" t="s">
        <v>262</v>
      </c>
      <c r="C191" s="6" t="n">
        <f aca="false">COUNTIF($G$97:$XFD$128,$B191)</f>
        <v>5</v>
      </c>
      <c r="D191" s="6" t="n">
        <f aca="false">COUNTIF($G$131:$XFD$146,$B191)</f>
        <v>3</v>
      </c>
      <c r="E191" s="6" t="n">
        <f aca="false">COUNTIF($G$149:$XFD$156,$B191)</f>
        <v>3</v>
      </c>
      <c r="F191" s="6" t="n">
        <f aca="false">COUNTIF($G$159:$XFD$162,$B191)</f>
        <v>2</v>
      </c>
      <c r="G191" s="6" t="n">
        <f aca="false">COUNTIF($G$165:$XFD$166,$B191)</f>
        <v>1</v>
      </c>
      <c r="H191" s="6" t="n">
        <f aca="false">COUNTIF($G$169:$XFD$169,$B191)</f>
        <v>1</v>
      </c>
      <c r="I191" s="6"/>
      <c r="J191" s="6"/>
      <c r="K191" s="6"/>
      <c r="L191" s="6"/>
      <c r="M191" s="6"/>
      <c r="N191" s="6"/>
      <c r="O191" s="6"/>
      <c r="P191" s="6"/>
    </row>
    <row r="192" customFormat="false" ht="14.25" hidden="false" customHeight="true" outlineLevel="0" collapsed="false">
      <c r="A192" s="6"/>
      <c r="B192" s="6" t="s">
        <v>263</v>
      </c>
      <c r="C192" s="6" t="n">
        <f aca="false">COUNTIF($G$97:$XFD$128,$B192)</f>
        <v>5</v>
      </c>
      <c r="D192" s="6" t="n">
        <f aca="false">COUNTIF($G$131:$XFD$146,$B192)</f>
        <v>4</v>
      </c>
      <c r="E192" s="6" t="n">
        <f aca="false">COUNTIF($G$149:$XFD$156,$B192)</f>
        <v>1</v>
      </c>
      <c r="F192" s="6" t="n">
        <f aca="false">COUNTIF($G$159:$XFD$162,$B192)</f>
        <v>1</v>
      </c>
      <c r="G192" s="6" t="n">
        <f aca="false">COUNTIF($G$165:$XFD$166,$B192)</f>
        <v>0</v>
      </c>
      <c r="H192" s="6" t="n">
        <f aca="false">COUNTIF($G$169:$XFD$169,$B192)</f>
        <v>0</v>
      </c>
      <c r="I192" s="6"/>
      <c r="J192" s="6"/>
      <c r="K192" s="6"/>
      <c r="L192" s="6"/>
      <c r="M192" s="6"/>
      <c r="N192" s="6"/>
      <c r="O192" s="6"/>
      <c r="P192" s="6"/>
    </row>
    <row r="193" customFormat="false" ht="14.25" hidden="false" customHeight="true" outlineLevel="0" collapsed="false">
      <c r="A193" s="6"/>
      <c r="B193" s="6" t="s">
        <v>264</v>
      </c>
      <c r="C193" s="6" t="n">
        <f aca="false">COUNTIF($G$97:$XFD$128,$B193)</f>
        <v>3</v>
      </c>
      <c r="D193" s="6" t="n">
        <f aca="false">COUNTIF($G$131:$XFD$146,$B193)</f>
        <v>1</v>
      </c>
      <c r="E193" s="6" t="n">
        <f aca="false">COUNTIF($G$149:$XFD$156,$B193)</f>
        <v>1</v>
      </c>
      <c r="F193" s="6" t="n">
        <f aca="false">COUNTIF($G$159:$XFD$162,$B193)</f>
        <v>0</v>
      </c>
      <c r="G193" s="6" t="n">
        <f aca="false">COUNTIF($G$165:$XFD$166,$B193)</f>
        <v>0</v>
      </c>
      <c r="H193" s="6" t="n">
        <f aca="false">COUNTIF($G$169:$XFD$169,$B193)</f>
        <v>0</v>
      </c>
      <c r="I193" s="6"/>
      <c r="J193" s="6"/>
      <c r="K193" s="6"/>
      <c r="L193" s="6"/>
      <c r="M193" s="6"/>
      <c r="N193" s="6"/>
      <c r="O193" s="6"/>
      <c r="P193" s="6"/>
    </row>
    <row r="194" customFormat="false" ht="14.25" hidden="false" customHeight="true" outlineLevel="0" collapsed="false">
      <c r="A194" s="6"/>
      <c r="B194" s="6" t="s">
        <v>265</v>
      </c>
      <c r="C194" s="6" t="n">
        <f aca="false">COUNTIF($G$97:$XFD$128,$B194)</f>
        <v>6</v>
      </c>
      <c r="D194" s="6" t="n">
        <f aca="false">COUNTIF($G$131:$XFD$146,$B194)</f>
        <v>3</v>
      </c>
      <c r="E194" s="6" t="n">
        <f aca="false">COUNTIF($G$149:$XFD$156,$B194)</f>
        <v>2</v>
      </c>
      <c r="F194" s="6" t="n">
        <f aca="false">COUNTIF($G$159:$XFD$162,$B194)</f>
        <v>2</v>
      </c>
      <c r="G194" s="6" t="n">
        <f aca="false">COUNTIF($G$165:$XFD$166,$B194)</f>
        <v>1</v>
      </c>
      <c r="H194" s="6" t="n">
        <f aca="false">COUNTIF($G$169:$XFD$169,$B194)</f>
        <v>1</v>
      </c>
      <c r="I194" s="6"/>
      <c r="J194" s="6"/>
      <c r="K194" s="6"/>
      <c r="L194" s="6"/>
      <c r="M194" s="6"/>
      <c r="N194" s="6"/>
      <c r="O194" s="6"/>
      <c r="P194" s="6"/>
    </row>
    <row r="195" customFormat="false" ht="14.25" hidden="false" customHeight="true" outlineLevel="0" collapsed="false">
      <c r="A195" s="6"/>
      <c r="B195" s="6" t="s">
        <v>266</v>
      </c>
      <c r="C195" s="6" t="n">
        <f aca="false">COUNTIF($G$97:$XFD$128,$B195)</f>
        <v>6</v>
      </c>
      <c r="D195" s="6" t="n">
        <f aca="false">COUNTIF($G$131:$XFD$146,$B195)</f>
        <v>5</v>
      </c>
      <c r="E195" s="6" t="n">
        <f aca="false">COUNTIF($G$149:$XFD$156,$B195)</f>
        <v>3</v>
      </c>
      <c r="F195" s="6" t="n">
        <f aca="false">COUNTIF($G$159:$XFD$162,$B195)</f>
        <v>1</v>
      </c>
      <c r="G195" s="6" t="n">
        <f aca="false">COUNTIF($G$165:$XFD$166,$B195)</f>
        <v>1</v>
      </c>
      <c r="H195" s="6" t="n">
        <f aca="false">COUNTIF($G$169:$XFD$169,$B195)</f>
        <v>1</v>
      </c>
      <c r="I195" s="6"/>
      <c r="J195" s="6"/>
      <c r="K195" s="6"/>
      <c r="L195" s="6"/>
      <c r="M195" s="6"/>
      <c r="N195" s="6"/>
      <c r="O195" s="6"/>
      <c r="P195" s="6"/>
    </row>
    <row r="196" customFormat="false" ht="14.25" hidden="false" customHeight="true" outlineLevel="0" collapsed="false">
      <c r="A196" s="6"/>
      <c r="B196" s="6" t="s">
        <v>267</v>
      </c>
      <c r="C196" s="6" t="n">
        <f aca="false">COUNTIF($G$97:$XFD$128,$B196)</f>
        <v>4</v>
      </c>
      <c r="D196" s="6" t="n">
        <f aca="false">COUNTIF($G$131:$XFD$146,$B196)</f>
        <v>1</v>
      </c>
      <c r="E196" s="6" t="n">
        <f aca="false">COUNTIF($G$149:$XFD$156,$B196)</f>
        <v>1</v>
      </c>
      <c r="F196" s="6" t="n">
        <f aca="false">COUNTIF($G$159:$XFD$162,$B196)</f>
        <v>0</v>
      </c>
      <c r="G196" s="6" t="n">
        <f aca="false">COUNTIF($G$165:$XFD$166,$B196)</f>
        <v>0</v>
      </c>
      <c r="H196" s="6" t="n">
        <f aca="false">COUNTIF($G$169:$XFD$169,$B196)</f>
        <v>0</v>
      </c>
      <c r="I196" s="6"/>
      <c r="J196" s="6"/>
      <c r="K196" s="6"/>
      <c r="L196" s="6"/>
      <c r="M196" s="6"/>
      <c r="N196" s="6"/>
      <c r="O196" s="6"/>
      <c r="P196" s="6"/>
    </row>
    <row r="197" customFormat="false" ht="14.25" hidden="false" customHeight="true" outlineLevel="0" collapsed="false">
      <c r="A197" s="6"/>
      <c r="B197" s="6" t="s">
        <v>268</v>
      </c>
      <c r="C197" s="6" t="n">
        <f aca="false">COUNTIF($G$97:$XFD$128,$B197)</f>
        <v>5</v>
      </c>
      <c r="D197" s="6" t="n">
        <f aca="false">COUNTIF($G$131:$XFD$146,$B197)</f>
        <v>2</v>
      </c>
      <c r="E197" s="6" t="n">
        <f aca="false">COUNTIF($G$149:$XFD$156,$B197)</f>
        <v>1</v>
      </c>
      <c r="F197" s="6" t="n">
        <f aca="false">COUNTIF($G$159:$XFD$162,$B197)</f>
        <v>1</v>
      </c>
      <c r="G197" s="6" t="n">
        <f aca="false">COUNTIF($G$165:$XFD$166,$B197)</f>
        <v>1</v>
      </c>
      <c r="H197" s="6" t="n">
        <f aca="false">COUNTIF($G$169:$XFD$169,$B197)</f>
        <v>0</v>
      </c>
      <c r="I197" s="6"/>
      <c r="J197" s="6"/>
      <c r="K197" s="6"/>
      <c r="L197" s="6"/>
      <c r="M197" s="6"/>
      <c r="N197" s="6"/>
      <c r="O197" s="6"/>
      <c r="P197" s="6"/>
    </row>
    <row r="198" customFormat="false" ht="14.25" hidden="false" customHeight="true" outlineLevel="0" collapsed="false">
      <c r="A198" s="6"/>
      <c r="B198" s="6" t="s">
        <v>269</v>
      </c>
      <c r="C198" s="6" t="n">
        <f aca="false">COUNTIF($G$97:$XFD$128,$B198)</f>
        <v>4</v>
      </c>
      <c r="D198" s="6" t="n">
        <f aca="false">COUNTIF($G$131:$XFD$146,$B198)</f>
        <v>1</v>
      </c>
      <c r="E198" s="6" t="n">
        <f aca="false">COUNTIF($G$149:$XFD$156,$B198)</f>
        <v>1</v>
      </c>
      <c r="F198" s="6" t="n">
        <f aca="false">COUNTIF($G$159:$XFD$162,$B198)</f>
        <v>1</v>
      </c>
      <c r="G198" s="6" t="n">
        <f aca="false">COUNTIF($G$165:$XFD$166,$B198)</f>
        <v>1</v>
      </c>
      <c r="H198" s="6" t="n">
        <f aca="false">COUNTIF($G$169:$XFD$169,$B198)</f>
        <v>1</v>
      </c>
      <c r="I198" s="6"/>
      <c r="J198" s="6"/>
      <c r="K198" s="6"/>
      <c r="L198" s="6"/>
      <c r="M198" s="6"/>
      <c r="N198" s="6"/>
      <c r="O198" s="6"/>
      <c r="P198" s="6"/>
    </row>
    <row r="199" customFormat="false" ht="14.25" hidden="false" customHeight="true" outlineLevel="0" collapsed="false">
      <c r="A199" s="6"/>
      <c r="B199" s="6" t="s">
        <v>270</v>
      </c>
      <c r="C199" s="6" t="n">
        <f aca="false">COUNTIF($G$97:$XFD$128,$B199)</f>
        <v>5</v>
      </c>
      <c r="D199" s="6" t="n">
        <f aca="false">COUNTIF($G$131:$XFD$146,$B199)</f>
        <v>4</v>
      </c>
      <c r="E199" s="6" t="n">
        <f aca="false">COUNTIF($G$149:$XFD$156,$B199)</f>
        <v>0</v>
      </c>
      <c r="F199" s="6" t="n">
        <f aca="false">COUNTIF($G$159:$XFD$162,$B199)</f>
        <v>0</v>
      </c>
      <c r="G199" s="6" t="n">
        <f aca="false">COUNTIF($G$165:$XFD$166,$B199)</f>
        <v>0</v>
      </c>
      <c r="H199" s="6" t="n">
        <f aca="false">COUNTIF($G$169:$XFD$169,$B199)</f>
        <v>0</v>
      </c>
      <c r="I199" s="6"/>
      <c r="J199" s="6"/>
      <c r="K199" s="6"/>
      <c r="L199" s="6"/>
      <c r="M199" s="6"/>
      <c r="N199" s="6"/>
      <c r="O199" s="6"/>
      <c r="P199" s="6"/>
    </row>
    <row r="200" customFormat="false" ht="14.25" hidden="false" customHeight="true" outlineLevel="0" collapsed="false">
      <c r="A200" s="6"/>
      <c r="B200" s="6" t="s">
        <v>271</v>
      </c>
      <c r="C200" s="6" t="n">
        <f aca="false">COUNTIF($G$97:$XFD$128,$B200)</f>
        <v>3</v>
      </c>
      <c r="D200" s="6" t="n">
        <f aca="false">COUNTIF($G$131:$XFD$146,$B200)</f>
        <v>2</v>
      </c>
      <c r="E200" s="6" t="n">
        <f aca="false">COUNTIF($G$149:$XFD$156,$B200)</f>
        <v>2</v>
      </c>
      <c r="F200" s="6" t="n">
        <f aca="false">COUNTIF($G$159:$XFD$162,$B200)</f>
        <v>0</v>
      </c>
      <c r="G200" s="6" t="n">
        <f aca="false">COUNTIF($G$165:$XFD$166,$B200)</f>
        <v>0</v>
      </c>
      <c r="H200" s="6" t="n">
        <f aca="false">COUNTIF($G$169:$XFD$169,$B200)</f>
        <v>0</v>
      </c>
      <c r="I200" s="6"/>
      <c r="J200" s="6"/>
      <c r="K200" s="6"/>
      <c r="L200" s="6"/>
      <c r="M200" s="6"/>
      <c r="N200" s="6"/>
      <c r="O200" s="6"/>
      <c r="P200" s="6"/>
    </row>
    <row r="201" customFormat="false" ht="14.25" hidden="false" customHeight="true" outlineLevel="0" collapsed="false">
      <c r="A201" s="6"/>
      <c r="B201" s="6" t="s">
        <v>272</v>
      </c>
      <c r="C201" s="6" t="n">
        <f aca="false">COUNTIF($G$97:$XFD$128,$B201)</f>
        <v>5</v>
      </c>
      <c r="D201" s="6" t="n">
        <f aca="false">COUNTIF($G$131:$XFD$146,$B201)</f>
        <v>3</v>
      </c>
      <c r="E201" s="6" t="n">
        <f aca="false">COUNTIF($G$149:$XFD$156,$B201)</f>
        <v>2</v>
      </c>
      <c r="F201" s="6" t="n">
        <f aca="false">COUNTIF($G$159:$XFD$162,$B201)</f>
        <v>1</v>
      </c>
      <c r="G201" s="6" t="n">
        <f aca="false">COUNTIF($G$165:$XFD$166,$B201)</f>
        <v>0</v>
      </c>
      <c r="H201" s="6" t="n">
        <f aca="false">COUNTIF($G$169:$XFD$169,$B201)</f>
        <v>0</v>
      </c>
      <c r="I201" s="6"/>
      <c r="J201" s="6"/>
      <c r="K201" s="6"/>
      <c r="L201" s="6"/>
      <c r="M201" s="6"/>
      <c r="N201" s="6"/>
      <c r="O201" s="6"/>
      <c r="P201" s="6"/>
    </row>
    <row r="202" customFormat="false" ht="14.25" hidden="false" customHeight="true" outlineLevel="0" collapsed="false">
      <c r="A202" s="6"/>
      <c r="B202" s="6" t="s">
        <v>273</v>
      </c>
      <c r="C202" s="6" t="n">
        <f aca="false">COUNTIF($G$97:$XFD$128,$B202)</f>
        <v>6</v>
      </c>
      <c r="D202" s="6" t="n">
        <f aca="false">COUNTIF($G$131:$XFD$146,$B202)</f>
        <v>1</v>
      </c>
      <c r="E202" s="6" t="n">
        <f aca="false">COUNTIF($G$149:$XFD$156,$B202)</f>
        <v>1</v>
      </c>
      <c r="F202" s="6" t="n">
        <f aca="false">COUNTIF($G$159:$XFD$162,$B202)</f>
        <v>0</v>
      </c>
      <c r="G202" s="6" t="n">
        <f aca="false">COUNTIF($G$165:$XFD$166,$B202)</f>
        <v>0</v>
      </c>
      <c r="H202" s="6" t="n">
        <f aca="false">COUNTIF($G$169:$XFD$169,$B202)</f>
        <v>0</v>
      </c>
      <c r="I202" s="6"/>
      <c r="J202" s="6"/>
      <c r="K202" s="6"/>
      <c r="L202" s="6"/>
      <c r="M202" s="6"/>
      <c r="N202" s="6"/>
      <c r="O202" s="6"/>
      <c r="P202" s="6"/>
    </row>
    <row r="203" customFormat="false" ht="14.25" hidden="false" customHeight="true" outlineLevel="0" collapsed="false">
      <c r="A203" s="6"/>
      <c r="B203" s="6" t="s">
        <v>274</v>
      </c>
      <c r="C203" s="6" t="n">
        <f aca="false">COUNTIF($G$97:$XFD$128,$B203)</f>
        <v>3</v>
      </c>
      <c r="D203" s="6" t="n">
        <f aca="false">COUNTIF($G$131:$XFD$146,$B203)</f>
        <v>1</v>
      </c>
      <c r="E203" s="6" t="n">
        <f aca="false">COUNTIF($G$149:$XFD$156,$B203)</f>
        <v>0</v>
      </c>
      <c r="F203" s="6" t="n">
        <f aca="false">COUNTIF($G$159:$XFD$162,$B203)</f>
        <v>0</v>
      </c>
      <c r="G203" s="6" t="n">
        <f aca="false">COUNTIF($G$165:$XFD$166,$B203)</f>
        <v>0</v>
      </c>
      <c r="H203" s="6" t="n">
        <f aca="false">COUNTIF($G$169:$XFD$169,$B203)</f>
        <v>0</v>
      </c>
      <c r="I203" s="6"/>
      <c r="J203" s="6"/>
      <c r="K203" s="6"/>
      <c r="L203" s="6"/>
      <c r="M203" s="6"/>
      <c r="N203" s="6"/>
      <c r="O203" s="6"/>
      <c r="P203" s="6"/>
    </row>
    <row r="204" customFormat="false" ht="14.25" hidden="false" customHeight="true" outlineLevel="0" collapsed="false">
      <c r="A204" s="6"/>
      <c r="B204" s="6" t="s">
        <v>275</v>
      </c>
      <c r="C204" s="6" t="n">
        <f aca="false">COUNTIF($G$97:$XFD$128,$B204)</f>
        <v>2</v>
      </c>
      <c r="D204" s="6" t="n">
        <f aca="false">COUNTIF($G$131:$XFD$146,$B204)</f>
        <v>2</v>
      </c>
      <c r="E204" s="6" t="n">
        <f aca="false">COUNTIF($G$149:$XFD$156,$B204)</f>
        <v>0</v>
      </c>
      <c r="F204" s="6" t="n">
        <f aca="false">COUNTIF($G$159:$XFD$162,$B204)</f>
        <v>0</v>
      </c>
      <c r="G204" s="6" t="n">
        <f aca="false">COUNTIF($G$165:$XFD$166,$B204)</f>
        <v>0</v>
      </c>
      <c r="H204" s="6" t="n">
        <f aca="false">COUNTIF($G$169:$XFD$169,$B204)</f>
        <v>0</v>
      </c>
      <c r="I204" s="6"/>
      <c r="J204" s="6"/>
      <c r="K204" s="6"/>
      <c r="L204" s="6"/>
      <c r="M204" s="6"/>
      <c r="N204" s="6"/>
      <c r="O204" s="6"/>
      <c r="P204" s="6"/>
    </row>
    <row r="205" customFormat="false" ht="14.25" hidden="false" customHeight="true" outlineLevel="0" collapsed="false">
      <c r="A205" s="6"/>
      <c r="B205" s="6" t="s">
        <v>276</v>
      </c>
      <c r="C205" s="6" t="n">
        <f aca="false">COUNTIF($G$97:$XFD$128,$B205)</f>
        <v>5</v>
      </c>
      <c r="D205" s="6" t="n">
        <f aca="false">COUNTIF($G$131:$XFD$146,$B205)</f>
        <v>3</v>
      </c>
      <c r="E205" s="6" t="n">
        <f aca="false">COUNTIF($G$149:$XFD$156,$B205)</f>
        <v>1</v>
      </c>
      <c r="F205" s="6" t="n">
        <f aca="false">COUNTIF($G$159:$XFD$162,$B205)</f>
        <v>1</v>
      </c>
      <c r="G205" s="6" t="n">
        <f aca="false">COUNTIF($G$165:$XFD$166,$B205)</f>
        <v>0</v>
      </c>
      <c r="H205" s="6" t="n">
        <f aca="false">COUNTIF($G$169:$XFD$169,$B205)</f>
        <v>0</v>
      </c>
      <c r="I205" s="6"/>
      <c r="J205" s="6"/>
      <c r="K205" s="6"/>
      <c r="L205" s="6"/>
      <c r="M205" s="6"/>
      <c r="N205" s="6"/>
      <c r="O205" s="6"/>
      <c r="P205" s="6"/>
    </row>
    <row r="206" customFormat="false" ht="14.25" hidden="false" customHeight="true" outlineLevel="0" collapsed="false">
      <c r="A206" s="6"/>
      <c r="B206" s="6" t="s">
        <v>277</v>
      </c>
      <c r="C206" s="6" t="n">
        <f aca="false">COUNTIF($G$97:$XFD$128,$B206)</f>
        <v>2</v>
      </c>
      <c r="D206" s="6" t="n">
        <f aca="false">COUNTIF($G$131:$XFD$146,$B206)</f>
        <v>1</v>
      </c>
      <c r="E206" s="6" t="n">
        <f aca="false">COUNTIF($G$149:$XFD$156,$B206)</f>
        <v>1</v>
      </c>
      <c r="F206" s="6" t="n">
        <f aca="false">COUNTIF($G$159:$XFD$162,$B206)</f>
        <v>0</v>
      </c>
      <c r="G206" s="6" t="n">
        <f aca="false">COUNTIF($G$165:$XFD$166,$B206)</f>
        <v>0</v>
      </c>
      <c r="H206" s="6" t="n">
        <f aca="false">COUNTIF($G$169:$XFD$169,$B206)</f>
        <v>0</v>
      </c>
      <c r="I206" s="6"/>
      <c r="J206" s="6"/>
      <c r="K206" s="6"/>
      <c r="L206" s="6"/>
      <c r="M206" s="6"/>
      <c r="N206" s="6"/>
      <c r="O206" s="6"/>
      <c r="P206" s="6"/>
    </row>
    <row r="207" customFormat="false" ht="14.25" hidden="false" customHeight="true" outlineLevel="0" collapsed="false">
      <c r="A207" s="6"/>
      <c r="B207" s="6" t="s">
        <v>278</v>
      </c>
      <c r="C207" s="6" t="n">
        <f aca="false">COUNTIF($G$97:$XFD$128,$B207)</f>
        <v>6</v>
      </c>
      <c r="D207" s="6" t="n">
        <f aca="false">COUNTIF($G$131:$XFD$146,$B207)</f>
        <v>3</v>
      </c>
      <c r="E207" s="6" t="n">
        <f aca="false">COUNTIF($G$149:$XFD$156,$B207)</f>
        <v>2</v>
      </c>
      <c r="F207" s="6" t="n">
        <f aca="false">COUNTIF($G$159:$XFD$162,$B207)</f>
        <v>2</v>
      </c>
      <c r="G207" s="6" t="n">
        <f aca="false">COUNTIF($G$165:$XFD$166,$B207)</f>
        <v>0</v>
      </c>
      <c r="H207" s="6" t="n">
        <f aca="false">COUNTIF($G$169:$XFD$169,$B207)</f>
        <v>0</v>
      </c>
      <c r="I207" s="6"/>
      <c r="J207" s="6"/>
      <c r="K207" s="6"/>
      <c r="L207" s="6"/>
      <c r="M207" s="6"/>
      <c r="N207" s="6"/>
      <c r="O207" s="6"/>
      <c r="P207" s="6"/>
    </row>
    <row r="208" customFormat="false" ht="14.25" hidden="false" customHeight="true" outlineLevel="0" collapsed="false">
      <c r="A208" s="6"/>
      <c r="B208" s="6" t="s">
        <v>279</v>
      </c>
      <c r="C208" s="6" t="n">
        <f aca="false">COUNTIF($G$97:$XFD$128,$B208)</f>
        <v>3</v>
      </c>
      <c r="D208" s="6" t="n">
        <f aca="false">COUNTIF($G$131:$XFD$146,$B208)</f>
        <v>2</v>
      </c>
      <c r="E208" s="6" t="n">
        <f aca="false">COUNTIF($G$149:$XFD$156,$B208)</f>
        <v>1</v>
      </c>
      <c r="F208" s="6" t="n">
        <f aca="false">COUNTIF($G$159:$XFD$162,$B208)</f>
        <v>0</v>
      </c>
      <c r="G208" s="6" t="n">
        <f aca="false">COUNTIF($G$165:$XFD$166,$B208)</f>
        <v>0</v>
      </c>
      <c r="H208" s="6" t="n">
        <f aca="false">COUNTIF($G$169:$XFD$169,$B208)</f>
        <v>0</v>
      </c>
      <c r="I208" s="6"/>
      <c r="J208" s="6"/>
      <c r="K208" s="6"/>
      <c r="L208" s="6"/>
      <c r="M208" s="6"/>
      <c r="N208" s="6"/>
      <c r="O208" s="6"/>
      <c r="P208" s="6"/>
    </row>
    <row r="209" customFormat="false" ht="14.25" hidden="false" customHeight="true" outlineLevel="0" collapsed="false">
      <c r="A209" s="6"/>
      <c r="B209" s="6" t="s">
        <v>280</v>
      </c>
      <c r="C209" s="6" t="n">
        <f aca="false">COUNTIF($G$97:$XFD$128,$B209)</f>
        <v>5</v>
      </c>
      <c r="D209" s="6" t="n">
        <f aca="false">COUNTIF($G$131:$XFD$146,$B209)</f>
        <v>0</v>
      </c>
      <c r="E209" s="6" t="n">
        <f aca="false">COUNTIF($G$149:$XFD$156,$B209)</f>
        <v>0</v>
      </c>
      <c r="F209" s="6" t="n">
        <f aca="false">COUNTIF($G$159:$XFD$162,$B209)</f>
        <v>0</v>
      </c>
      <c r="G209" s="6" t="n">
        <f aca="false">COUNTIF($G$165:$XFD$166,$B209)</f>
        <v>0</v>
      </c>
      <c r="H209" s="6" t="n">
        <f aca="false">COUNTIF($G$169:$XFD$169,$B209)</f>
        <v>0</v>
      </c>
      <c r="I209" s="6"/>
      <c r="J209" s="6"/>
      <c r="K209" s="6"/>
      <c r="L209" s="6"/>
      <c r="M209" s="6"/>
      <c r="N209" s="6"/>
      <c r="O209" s="6"/>
      <c r="P209" s="6"/>
    </row>
    <row r="210" customFormat="false" ht="14.25" hidden="false" customHeight="true" outlineLevel="0" collapsed="false">
      <c r="A210" s="6"/>
      <c r="B210" s="6" t="s">
        <v>281</v>
      </c>
      <c r="C210" s="6" t="n">
        <f aca="false">COUNTIF($G$97:$XFD$128,$B210)</f>
        <v>5</v>
      </c>
      <c r="D210" s="6" t="n">
        <f aca="false">COUNTIF($G$131:$XFD$146,$B210)</f>
        <v>2</v>
      </c>
      <c r="E210" s="6" t="n">
        <f aca="false">COUNTIF($G$149:$XFD$156,$B210)</f>
        <v>2</v>
      </c>
      <c r="F210" s="6" t="n">
        <f aca="false">COUNTIF($G$159:$XFD$162,$B210)</f>
        <v>0</v>
      </c>
      <c r="G210" s="6" t="n">
        <f aca="false">COUNTIF($G$165:$XFD$166,$B210)</f>
        <v>0</v>
      </c>
      <c r="H210" s="6" t="n">
        <f aca="false">COUNTIF($G$169:$XFD$169,$B210)</f>
        <v>0</v>
      </c>
      <c r="I210" s="6"/>
      <c r="J210" s="6"/>
      <c r="K210" s="6"/>
      <c r="L210" s="6"/>
      <c r="M210" s="6"/>
      <c r="N210" s="6"/>
      <c r="O210" s="6"/>
      <c r="P210" s="6"/>
    </row>
    <row r="211" customFormat="false" ht="14.25" hidden="false" customHeight="true" outlineLevel="0" collapsed="false">
      <c r="A211" s="6"/>
      <c r="B211" s="6" t="s">
        <v>282</v>
      </c>
      <c r="C211" s="6" t="n">
        <f aca="false">COUNTIF($G$97:$XFD$128,$B211)</f>
        <v>5</v>
      </c>
      <c r="D211" s="6" t="n">
        <f aca="false">COUNTIF($G$131:$XFD$146,$B211)</f>
        <v>1</v>
      </c>
      <c r="E211" s="6" t="n">
        <f aca="false">COUNTIF($G$149:$XFD$156,$B211)</f>
        <v>0</v>
      </c>
      <c r="F211" s="6" t="n">
        <f aca="false">COUNTIF($G$159:$XFD$162,$B211)</f>
        <v>0</v>
      </c>
      <c r="G211" s="6" t="n">
        <f aca="false">COUNTIF($G$165:$XFD$166,$B211)</f>
        <v>0</v>
      </c>
      <c r="H211" s="6" t="n">
        <f aca="false">COUNTIF($G$169:$XFD$169,$B211)</f>
        <v>0</v>
      </c>
      <c r="I211" s="6"/>
      <c r="J211" s="6"/>
      <c r="K211" s="6"/>
      <c r="L211" s="6"/>
      <c r="M211" s="6"/>
      <c r="N211" s="6"/>
      <c r="O211" s="6"/>
      <c r="P211" s="6"/>
    </row>
    <row r="212" customFormat="false" ht="14.25" hidden="false" customHeight="true" outlineLevel="0" collapsed="false">
      <c r="A212" s="6"/>
      <c r="B212" s="6" t="s">
        <v>283</v>
      </c>
      <c r="C212" s="6" t="n">
        <f aca="false">COUNTIF($G$97:$XFD$128,$B212)</f>
        <v>6</v>
      </c>
      <c r="D212" s="6" t="n">
        <f aca="false">COUNTIF($G$131:$XFD$146,$B212)</f>
        <v>3</v>
      </c>
      <c r="E212" s="6" t="n">
        <f aca="false">COUNTIF($G$149:$XFD$156,$B212)</f>
        <v>1</v>
      </c>
      <c r="F212" s="6" t="n">
        <f aca="false">COUNTIF($G$159:$XFD$162,$B212)</f>
        <v>1</v>
      </c>
      <c r="G212" s="6" t="n">
        <f aca="false">COUNTIF($G$165:$XFD$166,$B212)</f>
        <v>1</v>
      </c>
      <c r="H212" s="6" t="n">
        <f aca="false">COUNTIF($G$169:$XFD$169,$B212)</f>
        <v>0</v>
      </c>
      <c r="I212" s="6"/>
      <c r="J212" s="6"/>
      <c r="K212" s="6"/>
      <c r="L212" s="6"/>
      <c r="M212" s="6"/>
      <c r="N212" s="6"/>
      <c r="O212" s="6"/>
      <c r="P212" s="6"/>
    </row>
    <row r="213" customFormat="false" ht="14.25" hidden="false" customHeight="true" outlineLevel="0" collapsed="false">
      <c r="A213" s="6"/>
      <c r="B213" s="6" t="s">
        <v>284</v>
      </c>
      <c r="C213" s="6" t="n">
        <f aca="false">COUNTIF($G$97:$XFD$128,$B213)</f>
        <v>6</v>
      </c>
      <c r="D213" s="6" t="n">
        <f aca="false">COUNTIF($G$131:$XFD$146,$B213)</f>
        <v>5</v>
      </c>
      <c r="E213" s="6" t="n">
        <f aca="false">COUNTIF($G$149:$XFD$156,$B213)</f>
        <v>2</v>
      </c>
      <c r="F213" s="6" t="n">
        <f aca="false">COUNTIF($G$159:$XFD$162,$B213)</f>
        <v>1</v>
      </c>
      <c r="G213" s="6" t="n">
        <f aca="false">COUNTIF($G$165:$XFD$166,$B213)</f>
        <v>1</v>
      </c>
      <c r="H213" s="6" t="n">
        <f aca="false">COUNTIF($G$169:$XFD$169,$B213)</f>
        <v>0</v>
      </c>
      <c r="I213" s="6"/>
      <c r="J213" s="6"/>
      <c r="K213" s="6"/>
      <c r="L213" s="6"/>
      <c r="M213" s="6"/>
      <c r="N213" s="6"/>
      <c r="O213" s="6"/>
      <c r="P213" s="6"/>
    </row>
    <row r="214" customFormat="false" ht="14.25" hidden="false" customHeight="true" outlineLevel="0" collapsed="false">
      <c r="A214" s="6"/>
      <c r="B214" s="6" t="s">
        <v>285</v>
      </c>
      <c r="C214" s="6" t="n">
        <f aca="false">COUNTIF($G$97:$XFD$128,$B214)</f>
        <v>1</v>
      </c>
      <c r="D214" s="6" t="n">
        <f aca="false">COUNTIF($G$131:$XFD$146,$B214)</f>
        <v>1</v>
      </c>
      <c r="E214" s="6" t="n">
        <f aca="false">COUNTIF($G$149:$XFD$156,$B214)</f>
        <v>1</v>
      </c>
      <c r="F214" s="6" t="n">
        <f aca="false">COUNTIF($G$159:$XFD$162,$B214)</f>
        <v>0</v>
      </c>
      <c r="G214" s="6" t="n">
        <f aca="false">COUNTIF($G$165:$XFD$166,$B214)</f>
        <v>0</v>
      </c>
      <c r="H214" s="6" t="n">
        <f aca="false">COUNTIF($G$169:$XFD$169,$B214)</f>
        <v>0</v>
      </c>
      <c r="I214" s="6"/>
      <c r="J214" s="6"/>
      <c r="K214" s="6"/>
      <c r="L214" s="6"/>
      <c r="M214" s="6"/>
      <c r="N214" s="6"/>
      <c r="O214" s="6"/>
      <c r="P214" s="6"/>
    </row>
    <row r="215" customFormat="false" ht="14.25" hidden="false" customHeight="true" outlineLevel="0" collapsed="false">
      <c r="A215" s="6"/>
      <c r="B215" s="6" t="s">
        <v>286</v>
      </c>
      <c r="C215" s="6" t="n">
        <f aca="false">COUNTIF($G$97:$XFD$128,$B215)</f>
        <v>4</v>
      </c>
      <c r="D215" s="6" t="n">
        <f aca="false">COUNTIF($G$131:$XFD$146,$B215)</f>
        <v>2</v>
      </c>
      <c r="E215" s="6" t="n">
        <f aca="false">COUNTIF($G$149:$XFD$156,$B215)</f>
        <v>0</v>
      </c>
      <c r="F215" s="6" t="n">
        <f aca="false">COUNTIF($G$159:$XFD$162,$B215)</f>
        <v>0</v>
      </c>
      <c r="G215" s="6" t="n">
        <f aca="false">COUNTIF($G$165:$XFD$166,$B215)</f>
        <v>0</v>
      </c>
      <c r="H215" s="6" t="n">
        <f aca="false">COUNTIF($G$169:$XFD$169,$B215)</f>
        <v>0</v>
      </c>
      <c r="I215" s="6"/>
      <c r="J215" s="6"/>
      <c r="K215" s="6"/>
      <c r="L215" s="6"/>
      <c r="M215" s="6"/>
      <c r="N215" s="6"/>
      <c r="O215" s="6"/>
      <c r="P215" s="6"/>
    </row>
    <row r="216" customFormat="false" ht="14.25" hidden="false" customHeight="true" outlineLevel="0" collapsed="false">
      <c r="A216" s="6"/>
      <c r="B216" s="6" t="s">
        <v>287</v>
      </c>
      <c r="C216" s="6" t="n">
        <f aca="false">COUNTIF($G$97:$XFD$128,$B216)</f>
        <v>3</v>
      </c>
      <c r="D216" s="6" t="n">
        <f aca="false">COUNTIF($G$131:$XFD$146,$B216)</f>
        <v>0</v>
      </c>
      <c r="E216" s="6" t="n">
        <f aca="false">COUNTIF($G$149:$XFD$156,$B216)</f>
        <v>0</v>
      </c>
      <c r="F216" s="6" t="n">
        <f aca="false">COUNTIF($G$159:$XFD$162,$B216)</f>
        <v>0</v>
      </c>
      <c r="G216" s="6" t="n">
        <f aca="false">COUNTIF($G$165:$XFD$166,$B216)</f>
        <v>0</v>
      </c>
      <c r="H216" s="6" t="n">
        <f aca="false">COUNTIF($G$169:$XFD$169,$B216)</f>
        <v>0</v>
      </c>
      <c r="I216" s="6"/>
      <c r="J216" s="6"/>
      <c r="K216" s="6"/>
      <c r="L216" s="6"/>
      <c r="M216" s="6"/>
      <c r="N216" s="6"/>
      <c r="O216" s="6"/>
      <c r="P216" s="6"/>
    </row>
    <row r="217" customFormat="false" ht="14.25" hidden="false" customHeight="true" outlineLevel="0" collapsed="false">
      <c r="A217" s="6"/>
      <c r="B217" s="6" t="s">
        <v>288</v>
      </c>
      <c r="C217" s="6" t="n">
        <f aca="false">COUNTIF($G$97:$XFD$128,$B217)</f>
        <v>2</v>
      </c>
      <c r="D217" s="6" t="n">
        <f aca="false">COUNTIF($G$131:$XFD$146,$B217)</f>
        <v>1</v>
      </c>
      <c r="E217" s="6" t="n">
        <f aca="false">COUNTIF($G$149:$XFD$156,$B217)</f>
        <v>0</v>
      </c>
      <c r="F217" s="6" t="n">
        <f aca="false">COUNTIF($G$159:$XFD$162,$B217)</f>
        <v>0</v>
      </c>
      <c r="G217" s="6" t="n">
        <f aca="false">COUNTIF($G$165:$XFD$166,$B217)</f>
        <v>0</v>
      </c>
      <c r="H217" s="6" t="n">
        <f aca="false">COUNTIF($G$169:$XFD$169,$B217)</f>
        <v>0</v>
      </c>
      <c r="I217" s="6"/>
      <c r="J217" s="6"/>
      <c r="K217" s="6"/>
      <c r="L217" s="6"/>
      <c r="M217" s="6"/>
      <c r="N217" s="6"/>
      <c r="O217" s="6"/>
      <c r="P217" s="6"/>
    </row>
    <row r="218" customFormat="false" ht="14.25" hidden="false" customHeight="true" outlineLevel="0" collapsed="false">
      <c r="A218" s="6"/>
      <c r="B218" s="6" t="s">
        <v>289</v>
      </c>
      <c r="C218" s="6" t="n">
        <f aca="false">COUNTIF($G$97:$XFD$128,$B218)</f>
        <v>4</v>
      </c>
      <c r="D218" s="6" t="n">
        <f aca="false">COUNTIF($G$131:$XFD$146,$B218)</f>
        <v>3</v>
      </c>
      <c r="E218" s="6" t="n">
        <f aca="false">COUNTIF($G$149:$XFD$156,$B218)</f>
        <v>0</v>
      </c>
      <c r="F218" s="6" t="n">
        <f aca="false">COUNTIF($G$159:$XFD$162,$B218)</f>
        <v>0</v>
      </c>
      <c r="G218" s="6" t="n">
        <f aca="false">COUNTIF($G$165:$XFD$166,$B218)</f>
        <v>0</v>
      </c>
      <c r="H218" s="6" t="n">
        <f aca="false">COUNTIF($G$169:$XFD$169,$B218)</f>
        <v>0</v>
      </c>
      <c r="I218" s="6"/>
      <c r="J218" s="6"/>
      <c r="K218" s="6"/>
      <c r="L218" s="6"/>
      <c r="M218" s="6"/>
      <c r="N218" s="6"/>
      <c r="O218" s="6"/>
      <c r="P218" s="6"/>
    </row>
    <row r="219" customFormat="false" ht="14.25" hidden="false" customHeight="true" outlineLevel="0" collapsed="false">
      <c r="A219" s="6"/>
      <c r="B219" s="6" t="s">
        <v>290</v>
      </c>
      <c r="C219" s="6" t="n">
        <f aca="false">COUNTIF($G$97:$XFD$128,$B219)</f>
        <v>6</v>
      </c>
      <c r="D219" s="6" t="n">
        <f aca="false">COUNTIF($G$131:$XFD$146,$B219)</f>
        <v>3</v>
      </c>
      <c r="E219" s="6" t="n">
        <f aca="false">COUNTIF($G$149:$XFD$156,$B219)</f>
        <v>1</v>
      </c>
      <c r="F219" s="6" t="n">
        <f aca="false">COUNTIF($G$159:$XFD$162,$B219)</f>
        <v>0</v>
      </c>
      <c r="G219" s="6" t="n">
        <f aca="false">COUNTIF($G$165:$XFD$166,$B219)</f>
        <v>0</v>
      </c>
      <c r="H219" s="6" t="n">
        <f aca="false">COUNTIF($G$169:$XFD$169,$B219)</f>
        <v>0</v>
      </c>
      <c r="I219" s="6"/>
      <c r="J219" s="6"/>
      <c r="K219" s="6"/>
      <c r="L219" s="6"/>
      <c r="M219" s="6"/>
      <c r="N219" s="6"/>
      <c r="O219" s="6"/>
      <c r="P219" s="6"/>
    </row>
    <row r="220" customFormat="false" ht="14.25" hidden="false" customHeight="true" outlineLevel="0" collapsed="false">
      <c r="A220" s="6"/>
      <c r="B220" s="6" t="s">
        <v>291</v>
      </c>
      <c r="C220" s="6" t="n">
        <f aca="false">COUNTIF($G$97:$XFD$128,$B220)</f>
        <v>2</v>
      </c>
      <c r="D220" s="6" t="n">
        <f aca="false">COUNTIF($G$131:$XFD$146,$B220)</f>
        <v>1</v>
      </c>
      <c r="E220" s="6" t="n">
        <f aca="false">COUNTIF($G$149:$XFD$156,$B220)</f>
        <v>1</v>
      </c>
      <c r="F220" s="6" t="n">
        <f aca="false">COUNTIF($G$159:$XFD$162,$B220)</f>
        <v>1</v>
      </c>
      <c r="G220" s="6" t="n">
        <f aca="false">COUNTIF($G$165:$XFD$166,$B220)</f>
        <v>1</v>
      </c>
      <c r="H220" s="6" t="n">
        <f aca="false">COUNTIF($G$169:$XFD$169,$B220)</f>
        <v>0</v>
      </c>
      <c r="I220" s="6"/>
      <c r="J220" s="6"/>
      <c r="K220" s="6"/>
      <c r="L220" s="6"/>
      <c r="M220" s="6"/>
      <c r="N220" s="6"/>
      <c r="O220" s="6"/>
      <c r="P220" s="6"/>
    </row>
    <row r="221" customFormat="false" ht="14.25" hidden="false" customHeight="true" outlineLevel="0" collapsed="false">
      <c r="A221" s="6"/>
      <c r="B221" s="6" t="s">
        <v>292</v>
      </c>
      <c r="C221" s="6" t="n">
        <f aca="false">COUNTIF($G$97:$XFD$128,$B221)</f>
        <v>2</v>
      </c>
      <c r="D221" s="6" t="n">
        <f aca="false">COUNTIF($G$131:$XFD$146,$B221)</f>
        <v>0</v>
      </c>
      <c r="E221" s="6" t="n">
        <f aca="false">COUNTIF($G$149:$XFD$156,$B221)</f>
        <v>0</v>
      </c>
      <c r="F221" s="6" t="n">
        <f aca="false">COUNTIF($G$159:$XFD$162,$B221)</f>
        <v>0</v>
      </c>
      <c r="G221" s="6" t="n">
        <f aca="false">COUNTIF($G$165:$XFD$166,$B221)</f>
        <v>0</v>
      </c>
      <c r="H221" s="6" t="n">
        <f aca="false">COUNTIF($G$169:$XFD$169,$B221)</f>
        <v>0</v>
      </c>
      <c r="I221" s="6"/>
      <c r="J221" s="6"/>
      <c r="K221" s="6"/>
      <c r="L221" s="6"/>
      <c r="M221" s="6"/>
      <c r="N221" s="6"/>
      <c r="O221" s="6"/>
      <c r="P221" s="6"/>
    </row>
    <row r="222" customFormat="false" ht="14.25" hidden="false" customHeight="true" outlineLevel="0" collapsed="false">
      <c r="A222" s="6"/>
      <c r="B222" s="6" t="s">
        <v>293</v>
      </c>
      <c r="C222" s="6" t="n">
        <f aca="false">COUNTIF($G$97:$XFD$128,$B222)</f>
        <v>2</v>
      </c>
      <c r="D222" s="6" t="n">
        <f aca="false">COUNTIF($G$131:$XFD$146,$B222)</f>
        <v>2</v>
      </c>
      <c r="E222" s="6" t="n">
        <f aca="false">COUNTIF($G$149:$XFD$156,$B222)</f>
        <v>1</v>
      </c>
      <c r="F222" s="6" t="n">
        <f aca="false">COUNTIF($G$159:$XFD$162,$B222)</f>
        <v>1</v>
      </c>
      <c r="G222" s="6" t="n">
        <f aca="false">COUNTIF($G$165:$XFD$166,$B222)</f>
        <v>1</v>
      </c>
      <c r="H222" s="6" t="n">
        <f aca="false">COUNTIF($G$169:$XFD$169,$B222)</f>
        <v>1</v>
      </c>
      <c r="I222" s="6"/>
      <c r="J222" s="6"/>
      <c r="K222" s="6"/>
      <c r="L222" s="6"/>
      <c r="M222" s="6"/>
      <c r="N222" s="6"/>
      <c r="O222" s="6"/>
      <c r="P222" s="6"/>
    </row>
    <row r="223" customFormat="false" ht="14.25" hidden="false" customHeight="true" outlineLevel="0" collapsed="false">
      <c r="A223" s="6"/>
      <c r="B223" s="6" t="s">
        <v>294</v>
      </c>
      <c r="C223" s="6" t="n">
        <f aca="false">COUNTIF($G$97:$XFD$128,$B223)</f>
        <v>5</v>
      </c>
      <c r="D223" s="6" t="n">
        <f aca="false">COUNTIF($G$131:$XFD$146,$B223)</f>
        <v>1</v>
      </c>
      <c r="E223" s="6" t="n">
        <f aca="false">COUNTIF($G$149:$XFD$156,$B223)</f>
        <v>1</v>
      </c>
      <c r="F223" s="6" t="n">
        <f aca="false">COUNTIF($G$159:$XFD$162,$B223)</f>
        <v>0</v>
      </c>
      <c r="G223" s="6" t="n">
        <f aca="false">COUNTIF($G$165:$XFD$166,$B223)</f>
        <v>0</v>
      </c>
      <c r="H223" s="6" t="n">
        <f aca="false">COUNTIF($G$169:$XFD$169,$B223)</f>
        <v>0</v>
      </c>
      <c r="I223" s="6"/>
      <c r="J223" s="6"/>
      <c r="K223" s="6"/>
      <c r="L223" s="6"/>
      <c r="M223" s="6"/>
      <c r="N223" s="6"/>
      <c r="O223" s="6"/>
      <c r="P223" s="6"/>
    </row>
    <row r="224" customFormat="false" ht="14.25" hidden="false" customHeight="true" outlineLevel="0" collapsed="false">
      <c r="A224" s="6"/>
      <c r="B224" s="6" t="s">
        <v>295</v>
      </c>
      <c r="C224" s="6" t="n">
        <f aca="false">COUNTIF($G$97:$XFD$128,$B224)</f>
        <v>3</v>
      </c>
      <c r="D224" s="6" t="n">
        <f aca="false">COUNTIF($G$131:$XFD$146,$B224)</f>
        <v>0</v>
      </c>
      <c r="E224" s="6" t="n">
        <f aca="false">COUNTIF($G$149:$XFD$156,$B224)</f>
        <v>0</v>
      </c>
      <c r="F224" s="6" t="n">
        <f aca="false">COUNTIF($G$159:$XFD$162,$B224)</f>
        <v>0</v>
      </c>
      <c r="G224" s="6" t="n">
        <f aca="false">COUNTIF($G$165:$XFD$166,$B224)</f>
        <v>0</v>
      </c>
      <c r="H224" s="6" t="n">
        <f aca="false">COUNTIF($G$169:$XFD$169,$B224)</f>
        <v>0</v>
      </c>
      <c r="I224" s="6"/>
      <c r="J224" s="6"/>
      <c r="K224" s="6"/>
      <c r="L224" s="6"/>
      <c r="M224" s="6"/>
      <c r="N224" s="6"/>
      <c r="O224" s="6"/>
      <c r="P224" s="6"/>
    </row>
    <row r="225" customFormat="false" ht="14.25" hidden="false" customHeight="true" outlineLevel="0" collapsed="false">
      <c r="A225" s="6"/>
      <c r="B225" s="6" t="s">
        <v>296</v>
      </c>
      <c r="C225" s="6" t="n">
        <f aca="false">COUNTIF($G$97:$XFD$128,$B225)</f>
        <v>6</v>
      </c>
      <c r="D225" s="6" t="n">
        <f aca="false">COUNTIF($G$131:$XFD$146,$B225)</f>
        <v>3</v>
      </c>
      <c r="E225" s="6" t="n">
        <f aca="false">COUNTIF($G$149:$XFD$156,$B225)</f>
        <v>0</v>
      </c>
      <c r="F225" s="6" t="n">
        <f aca="false">COUNTIF($G$159:$XFD$162,$B225)</f>
        <v>0</v>
      </c>
      <c r="G225" s="6" t="n">
        <f aca="false">COUNTIF($G$165:$XFD$166,$B225)</f>
        <v>0</v>
      </c>
      <c r="H225" s="6" t="n">
        <f aca="false">COUNTIF($G$169:$XFD$169,$B225)</f>
        <v>0</v>
      </c>
      <c r="I225" s="6"/>
      <c r="J225" s="6"/>
      <c r="K225" s="6"/>
      <c r="L225" s="6"/>
      <c r="M225" s="6"/>
      <c r="N225" s="6"/>
      <c r="O225" s="6"/>
      <c r="P225" s="6"/>
    </row>
    <row r="226" customFormat="false" ht="14.25" hidden="false" customHeight="true" outlineLevel="0" collapsed="false">
      <c r="A226" s="6"/>
      <c r="B226" s="6" t="s">
        <v>297</v>
      </c>
      <c r="C226" s="6" t="n">
        <f aca="false">COUNTIF($G$97:$XFD$128,$B226)</f>
        <v>5</v>
      </c>
      <c r="D226" s="6" t="n">
        <f aca="false">COUNTIF($G$131:$XFD$146,$B226)</f>
        <v>0</v>
      </c>
      <c r="E226" s="6" t="n">
        <f aca="false">COUNTIF($G$149:$XFD$156,$B226)</f>
        <v>0</v>
      </c>
      <c r="F226" s="6" t="n">
        <f aca="false">COUNTIF($G$159:$XFD$162,$B226)</f>
        <v>0</v>
      </c>
      <c r="G226" s="6" t="n">
        <f aca="false">COUNTIF($G$165:$XFD$166,$B226)</f>
        <v>0</v>
      </c>
      <c r="H226" s="6" t="n">
        <f aca="false">COUNTIF($G$169:$XFD$169,$B226)</f>
        <v>0</v>
      </c>
      <c r="I226" s="6"/>
      <c r="J226" s="6"/>
      <c r="K226" s="6"/>
      <c r="L226" s="6"/>
      <c r="M226" s="6"/>
      <c r="N226" s="6"/>
      <c r="O226" s="6"/>
      <c r="P226" s="6"/>
    </row>
    <row r="227" customFormat="false" ht="14.25" hidden="false" customHeight="true" outlineLevel="0" collapsed="false">
      <c r="A227" s="6"/>
      <c r="B227" s="6" t="s">
        <v>298</v>
      </c>
      <c r="C227" s="6" t="n">
        <f aca="false">COUNTIF($G$97:$XFD$128,$B227)</f>
        <v>3</v>
      </c>
      <c r="D227" s="6" t="n">
        <f aca="false">COUNTIF($G$131:$XFD$146,$B227)</f>
        <v>2</v>
      </c>
      <c r="E227" s="6" t="n">
        <f aca="false">COUNTIF($G$149:$XFD$156,$B227)</f>
        <v>2</v>
      </c>
      <c r="F227" s="6" t="n">
        <f aca="false">COUNTIF($G$159:$XFD$162,$B227)</f>
        <v>1</v>
      </c>
      <c r="G227" s="6" t="n">
        <f aca="false">COUNTIF($G$165:$XFD$166,$B227)</f>
        <v>0</v>
      </c>
      <c r="H227" s="6" t="n">
        <f aca="false">COUNTIF($G$169:$XFD$169,$B227)</f>
        <v>0</v>
      </c>
      <c r="I227" s="6"/>
      <c r="J227" s="6"/>
      <c r="K227" s="6"/>
      <c r="L227" s="6"/>
      <c r="M227" s="6"/>
      <c r="N227" s="6"/>
      <c r="O227" s="6"/>
      <c r="P227" s="6"/>
    </row>
    <row r="228" customFormat="false" ht="14.25" hidden="false" customHeight="true" outlineLevel="0" collapsed="false">
      <c r="A228" s="6"/>
      <c r="B228" s="6" t="s">
        <v>299</v>
      </c>
      <c r="C228" s="6" t="n">
        <f aca="false">COUNTIF($G$97:$XFD$128,$B228)</f>
        <v>3</v>
      </c>
      <c r="D228" s="6" t="n">
        <f aca="false">COUNTIF($G$131:$XFD$146,$B228)</f>
        <v>1</v>
      </c>
      <c r="E228" s="6" t="n">
        <f aca="false">COUNTIF($G$149:$XFD$156,$B228)</f>
        <v>1</v>
      </c>
      <c r="F228" s="6" t="n">
        <f aca="false">COUNTIF($G$159:$XFD$162,$B228)</f>
        <v>1</v>
      </c>
      <c r="G228" s="6" t="n">
        <f aca="false">COUNTIF($G$165:$XFD$166,$B228)</f>
        <v>1</v>
      </c>
      <c r="H228" s="6" t="n">
        <f aca="false">COUNTIF($G$169:$XFD$169,$B228)</f>
        <v>0</v>
      </c>
      <c r="I228" s="6"/>
      <c r="J228" s="6"/>
      <c r="K228" s="6"/>
      <c r="L228" s="6"/>
      <c r="M228" s="6"/>
      <c r="N228" s="6"/>
      <c r="O228" s="6"/>
      <c r="P228" s="6"/>
    </row>
    <row r="229" customFormat="false" ht="14.25" hidden="false" customHeight="true" outlineLevel="0" collapsed="false">
      <c r="A229" s="6"/>
      <c r="B229" s="6" t="s">
        <v>300</v>
      </c>
      <c r="C229" s="6" t="n">
        <f aca="false">COUNTIF($G$97:$XFD$128,$B229)</f>
        <v>3</v>
      </c>
      <c r="D229" s="6" t="n">
        <f aca="false">COUNTIF($G$131:$XFD$146,$B229)</f>
        <v>1</v>
      </c>
      <c r="E229" s="6" t="n">
        <f aca="false">COUNTIF($G$149:$XFD$156,$B229)</f>
        <v>0</v>
      </c>
      <c r="F229" s="6" t="n">
        <f aca="false">COUNTIF($G$159:$XFD$162,$B229)</f>
        <v>0</v>
      </c>
      <c r="G229" s="6" t="n">
        <f aca="false">COUNTIF($G$165:$XFD$166,$B229)</f>
        <v>0</v>
      </c>
      <c r="H229" s="6" t="n">
        <f aca="false">COUNTIF($G$169:$XFD$169,$B229)</f>
        <v>0</v>
      </c>
      <c r="I229" s="6"/>
      <c r="J229" s="6"/>
      <c r="K229" s="6"/>
      <c r="L229" s="6"/>
      <c r="M229" s="6"/>
      <c r="N229" s="6"/>
      <c r="O229" s="6"/>
      <c r="P229" s="6"/>
    </row>
    <row r="230" customFormat="false" ht="14.25" hidden="false" customHeight="true" outlineLevel="0" collapsed="false">
      <c r="A230" s="6"/>
      <c r="B230" s="6" t="s">
        <v>301</v>
      </c>
      <c r="C230" s="6" t="n">
        <f aca="false">COUNTIF($G$97:$XFD$128,$B230)</f>
        <v>5</v>
      </c>
      <c r="D230" s="6" t="n">
        <f aca="false">COUNTIF($G$131:$XFD$146,$B230)</f>
        <v>4</v>
      </c>
      <c r="E230" s="6" t="n">
        <f aca="false">COUNTIF($G$149:$XFD$156,$B230)</f>
        <v>2</v>
      </c>
      <c r="F230" s="6" t="n">
        <f aca="false">COUNTIF($G$159:$XFD$162,$B230)</f>
        <v>1</v>
      </c>
      <c r="G230" s="6" t="n">
        <f aca="false">COUNTIF($G$165:$XFD$166,$B230)</f>
        <v>0</v>
      </c>
      <c r="H230" s="6" t="n">
        <f aca="false">COUNTIF($G$169:$XFD$169,$B230)</f>
        <v>0</v>
      </c>
      <c r="I230" s="6"/>
      <c r="J230" s="6"/>
      <c r="K230" s="6"/>
      <c r="L230" s="6"/>
      <c r="M230" s="6"/>
      <c r="N230" s="6"/>
      <c r="O230" s="6"/>
      <c r="P230" s="6"/>
    </row>
    <row r="231" customFormat="false" ht="14.25" hidden="false" customHeight="true" outlineLevel="0" collapsed="false">
      <c r="A231" s="6"/>
      <c r="B231" s="6" t="s">
        <v>302</v>
      </c>
      <c r="C231" s="6" t="n">
        <f aca="false">COUNTIF($G$97:$XFD$128,$B231)</f>
        <v>1</v>
      </c>
      <c r="D231" s="6" t="n">
        <f aca="false">COUNTIF($G$131:$XFD$146,$B231)</f>
        <v>0</v>
      </c>
      <c r="E231" s="6" t="n">
        <f aca="false">COUNTIF($G$149:$XFD$156,$B231)</f>
        <v>0</v>
      </c>
      <c r="F231" s="6" t="n">
        <f aca="false">COUNTIF($G$159:$XFD$162,$B231)</f>
        <v>0</v>
      </c>
      <c r="G231" s="6" t="n">
        <f aca="false">COUNTIF($G$165:$XFD$166,$B231)</f>
        <v>0</v>
      </c>
      <c r="H231" s="6" t="n">
        <f aca="false">COUNTIF($G$169:$XFD$169,$B231)</f>
        <v>0</v>
      </c>
      <c r="I231" s="6"/>
      <c r="J231" s="6"/>
      <c r="K231" s="6"/>
      <c r="L231" s="6"/>
      <c r="M231" s="6"/>
      <c r="N231" s="6"/>
      <c r="O231" s="6"/>
      <c r="P231" s="6"/>
    </row>
    <row r="232" customFormat="false" ht="14.25" hidden="false" customHeight="true" outlineLevel="0" collapsed="false">
      <c r="A232" s="6"/>
      <c r="B232" s="6" t="s">
        <v>303</v>
      </c>
      <c r="C232" s="6" t="n">
        <f aca="false">COUNTIF($G$97:$XFD$128,$B232)</f>
        <v>2</v>
      </c>
      <c r="D232" s="6" t="n">
        <f aca="false">COUNTIF($G$131:$XFD$146,$B232)</f>
        <v>2</v>
      </c>
      <c r="E232" s="6" t="n">
        <f aca="false">COUNTIF($G$149:$XFD$156,$B232)</f>
        <v>1</v>
      </c>
      <c r="F232" s="6" t="n">
        <f aca="false">COUNTIF($G$159:$XFD$162,$B232)</f>
        <v>0</v>
      </c>
      <c r="G232" s="6" t="n">
        <f aca="false">COUNTIF($G$165:$XFD$166,$B232)</f>
        <v>0</v>
      </c>
      <c r="H232" s="6" t="n">
        <f aca="false">COUNTIF($G$169:$XFD$169,$B232)</f>
        <v>0</v>
      </c>
      <c r="I232" s="6"/>
      <c r="J232" s="6"/>
      <c r="K232" s="6"/>
      <c r="L232" s="6"/>
      <c r="M232" s="6"/>
      <c r="N232" s="6"/>
      <c r="O232" s="6"/>
      <c r="P232" s="6"/>
    </row>
    <row r="233" customFormat="false" ht="14.25" hidden="false" customHeight="true" outlineLevel="0" collapsed="false">
      <c r="A233" s="6"/>
      <c r="B233" s="6" t="s">
        <v>304</v>
      </c>
      <c r="C233" s="6" t="n">
        <f aca="false">COUNTIF($G$97:$XFD$128,$B233)</f>
        <v>4</v>
      </c>
      <c r="D233" s="6" t="n">
        <f aca="false">COUNTIF($G$131:$XFD$146,$B233)</f>
        <v>4</v>
      </c>
      <c r="E233" s="6" t="n">
        <f aca="false">COUNTIF($G$149:$XFD$156,$B233)</f>
        <v>0</v>
      </c>
      <c r="F233" s="6" t="n">
        <f aca="false">COUNTIF($G$159:$XFD$162,$B233)</f>
        <v>0</v>
      </c>
      <c r="G233" s="6" t="n">
        <f aca="false">COUNTIF($G$165:$XFD$166,$B233)</f>
        <v>0</v>
      </c>
      <c r="H233" s="6" t="n">
        <f aca="false">COUNTIF($G$169:$XFD$169,$B233)</f>
        <v>0</v>
      </c>
      <c r="I233" s="6"/>
      <c r="J233" s="6"/>
      <c r="K233" s="6"/>
      <c r="L233" s="6"/>
      <c r="M233" s="6"/>
      <c r="N233" s="6"/>
      <c r="O233" s="6"/>
      <c r="P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4.25" hidden="false" customHeight="true" outlineLevel="0" collapsed="false">
      <c r="A236" s="7" t="s">
        <v>305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4.25" hidden="false" customHeight="true" outlineLevel="0" collapsed="false">
      <c r="A237" s="40" t="s">
        <v>84</v>
      </c>
      <c r="B237" s="40" t="s">
        <v>0</v>
      </c>
      <c r="C237" s="40" t="s">
        <v>85</v>
      </c>
      <c r="D237" s="40"/>
      <c r="F237" s="40" t="s">
        <v>2</v>
      </c>
      <c r="G237" s="6"/>
      <c r="H237" s="6"/>
      <c r="I237" s="6"/>
      <c r="J237" s="6"/>
      <c r="K237" s="6"/>
      <c r="L237" s="6"/>
    </row>
    <row r="238" customFormat="false" ht="14.25" hidden="false" customHeight="true" outlineLevel="0" collapsed="false">
      <c r="A238" s="6" t="s">
        <v>88</v>
      </c>
      <c r="B238" s="6" t="e">
        <f aca="false">HLOOKUP($A238,$3:$8,2,0)</f>
        <v>#N/A</v>
      </c>
      <c r="C238" s="6" t="e">
        <f aca="false">HLOOKUP($A238,$3:$8,5,0)</f>
        <v>#N/A</v>
      </c>
      <c r="D238" s="6"/>
      <c r="F238" s="6" t="e">
        <f aca="false">HLOOKUP($A238,$3:$8,6,0)</f>
        <v>#N/A</v>
      </c>
      <c r="G238" s="6"/>
      <c r="H238" s="6"/>
      <c r="I238" s="6"/>
      <c r="J238" s="6"/>
      <c r="K238" s="6"/>
      <c r="L238" s="6"/>
    </row>
    <row r="239" customFormat="false" ht="14.25" hidden="false" customHeight="true" outlineLevel="0" collapsed="false">
      <c r="A239" s="6" t="s">
        <v>90</v>
      </c>
      <c r="B239" s="6" t="e">
        <f aca="false">HLOOKUP($A239,$3:$8,2,0)</f>
        <v>#N/A</v>
      </c>
      <c r="C239" s="6" t="e">
        <f aca="false">HLOOKUP($A239,$3:$8,5,0)</f>
        <v>#N/A</v>
      </c>
      <c r="D239" s="6"/>
      <c r="F239" s="6" t="e">
        <f aca="false">HLOOKUP($A239,$3:$8,6,0)</f>
        <v>#N/A</v>
      </c>
      <c r="G239" s="6"/>
      <c r="H239" s="6"/>
      <c r="I239" s="6"/>
      <c r="J239" s="6"/>
      <c r="K239" s="6"/>
      <c r="L239" s="6"/>
    </row>
    <row r="240" customFormat="false" ht="14.25" hidden="false" customHeight="true" outlineLevel="0" collapsed="false">
      <c r="A240" s="6" t="s">
        <v>92</v>
      </c>
      <c r="B240" s="6" t="e">
        <f aca="false">HLOOKUP($A240,$3:$8,2,0)</f>
        <v>#N/A</v>
      </c>
      <c r="C240" s="6" t="e">
        <f aca="false">HLOOKUP($A240,$3:$8,5,0)</f>
        <v>#N/A</v>
      </c>
      <c r="D240" s="6"/>
      <c r="F240" s="6" t="e">
        <f aca="false">HLOOKUP($A240,$3:$8,6,0)</f>
        <v>#N/A</v>
      </c>
      <c r="G240" s="6"/>
      <c r="H240" s="6"/>
      <c r="I240" s="6"/>
      <c r="J240" s="6"/>
      <c r="K240" s="6"/>
      <c r="L240" s="6"/>
    </row>
    <row r="241" customFormat="false" ht="14.25" hidden="false" customHeight="true" outlineLevel="0" collapsed="false">
      <c r="A241" s="6" t="s">
        <v>94</v>
      </c>
      <c r="B241" s="6" t="e">
        <f aca="false">HLOOKUP($A241,$3:$8,2,0)</f>
        <v>#N/A</v>
      </c>
      <c r="C241" s="6" t="e">
        <f aca="false">HLOOKUP($A241,$3:$8,5,0)</f>
        <v>#N/A</v>
      </c>
      <c r="D241" s="6"/>
      <c r="F241" s="6" t="e">
        <f aca="false">HLOOKUP($A241,$3:$8,6,0)</f>
        <v>#N/A</v>
      </c>
      <c r="G241" s="6"/>
      <c r="H241" s="6"/>
      <c r="I241" s="6"/>
      <c r="J241" s="6"/>
      <c r="K241" s="6"/>
      <c r="L241" s="6"/>
    </row>
    <row r="242" customFormat="false" ht="14.25" hidden="false" customHeight="true" outlineLevel="0" collapsed="false">
      <c r="A242" s="6" t="s">
        <v>96</v>
      </c>
      <c r="B242" s="6" t="e">
        <f aca="false">HLOOKUP($A242,$3:$8,2,0)</f>
        <v>#N/A</v>
      </c>
      <c r="C242" s="6" t="e">
        <f aca="false">HLOOKUP($A242,$3:$8,5,0)</f>
        <v>#N/A</v>
      </c>
      <c r="D242" s="6"/>
      <c r="F242" s="6" t="e">
        <f aca="false">HLOOKUP($A242,$3:$8,6,0)</f>
        <v>#N/A</v>
      </c>
      <c r="G242" s="6"/>
      <c r="H242" s="6"/>
      <c r="I242" s="6"/>
      <c r="J242" s="6"/>
      <c r="K242" s="6"/>
      <c r="L242" s="6"/>
    </row>
    <row r="243" customFormat="false" ht="14.25" hidden="false" customHeight="true" outlineLevel="0" collapsed="false">
      <c r="A243" s="6" t="s">
        <v>98</v>
      </c>
      <c r="B243" s="6" t="e">
        <f aca="false">HLOOKUP($A243,$3:$8,2,0)</f>
        <v>#N/A</v>
      </c>
      <c r="C243" s="6" t="e">
        <f aca="false">HLOOKUP($A243,$3:$8,5,0)</f>
        <v>#N/A</v>
      </c>
      <c r="D243" s="6"/>
      <c r="F243" s="6" t="e">
        <f aca="false">HLOOKUP($A243,$3:$8,6,0)</f>
        <v>#N/A</v>
      </c>
      <c r="G243" s="6"/>
      <c r="H243" s="6"/>
      <c r="I243" s="6"/>
      <c r="J243" s="6"/>
      <c r="K243" s="6"/>
      <c r="L243" s="6"/>
    </row>
    <row r="244" customFormat="false" ht="14.25" hidden="false" customHeight="true" outlineLevel="0" collapsed="false">
      <c r="A244" s="82" t="s">
        <v>100</v>
      </c>
      <c r="B244" s="82" t="s">
        <v>101</v>
      </c>
      <c r="C244" s="82" t="str">
        <f aca="false">B97</f>
        <v/>
      </c>
      <c r="D244" s="82"/>
      <c r="E244" s="83"/>
      <c r="F244" s="82" t="n">
        <v>0</v>
      </c>
      <c r="G244" s="6"/>
      <c r="H244" s="6"/>
      <c r="I244" s="6"/>
      <c r="J244" s="6"/>
      <c r="K244" s="6"/>
      <c r="L244" s="6"/>
    </row>
    <row r="245" customFormat="false" ht="14.25" hidden="false" customHeight="true" outlineLevel="0" collapsed="false">
      <c r="A245" s="82" t="s">
        <v>102</v>
      </c>
      <c r="B245" s="82" t="s">
        <v>103</v>
      </c>
      <c r="C245" s="82" t="str">
        <f aca="false">B98</f>
        <v/>
      </c>
      <c r="D245" s="82"/>
      <c r="E245" s="83"/>
      <c r="F245" s="82" t="n">
        <v>0</v>
      </c>
    </row>
    <row r="246" customFormat="false" ht="14.25" hidden="false" customHeight="true" outlineLevel="0" collapsed="false">
      <c r="A246" s="82" t="s">
        <v>104</v>
      </c>
      <c r="B246" s="82" t="s">
        <v>105</v>
      </c>
      <c r="C246" s="82" t="str">
        <f aca="false">B99</f>
        <v/>
      </c>
      <c r="D246" s="82"/>
      <c r="E246" s="83"/>
      <c r="F246" s="82" t="n">
        <v>0</v>
      </c>
    </row>
    <row r="247" customFormat="false" ht="14.25" hidden="false" customHeight="true" outlineLevel="0" collapsed="false">
      <c r="A247" s="82" t="s">
        <v>106</v>
      </c>
      <c r="B247" s="82" t="s">
        <v>107</v>
      </c>
      <c r="C247" s="82" t="str">
        <f aca="false">B100</f>
        <v/>
      </c>
      <c r="D247" s="82"/>
      <c r="E247" s="83"/>
      <c r="F247" s="82" t="n">
        <v>0</v>
      </c>
    </row>
    <row r="248" customFormat="false" ht="14.25" hidden="false" customHeight="true" outlineLevel="0" collapsed="false">
      <c r="A248" s="82" t="s">
        <v>108</v>
      </c>
      <c r="B248" s="82" t="s">
        <v>109</v>
      </c>
      <c r="C248" s="82" t="str">
        <f aca="false">B101</f>
        <v/>
      </c>
      <c r="D248" s="82"/>
      <c r="E248" s="83"/>
      <c r="F248" s="82" t="n">
        <v>0</v>
      </c>
    </row>
    <row r="249" customFormat="false" ht="14.25" hidden="false" customHeight="true" outlineLevel="0" collapsed="false">
      <c r="A249" s="82" t="s">
        <v>110</v>
      </c>
      <c r="B249" s="82" t="s">
        <v>111</v>
      </c>
      <c r="C249" s="82" t="str">
        <f aca="false">B102</f>
        <v/>
      </c>
      <c r="D249" s="82"/>
      <c r="E249" s="83"/>
      <c r="F249" s="82" t="n">
        <v>0</v>
      </c>
    </row>
    <row r="250" customFormat="false" ht="14.25" hidden="false" customHeight="true" outlineLevel="0" collapsed="false">
      <c r="A250" s="82" t="s">
        <v>112</v>
      </c>
      <c r="B250" s="82" t="s">
        <v>113</v>
      </c>
      <c r="C250" s="82" t="str">
        <f aca="false">B103</f>
        <v/>
      </c>
      <c r="D250" s="82"/>
      <c r="E250" s="83"/>
      <c r="F250" s="82" t="n">
        <v>0</v>
      </c>
    </row>
    <row r="251" customFormat="false" ht="14.25" hidden="false" customHeight="true" outlineLevel="0" collapsed="false">
      <c r="A251" s="82" t="s">
        <v>114</v>
      </c>
      <c r="B251" s="82" t="s">
        <v>115</v>
      </c>
      <c r="C251" s="82" t="str">
        <f aca="false">B104</f>
        <v/>
      </c>
      <c r="D251" s="82"/>
      <c r="E251" s="83"/>
      <c r="F251" s="82" t="n">
        <v>0</v>
      </c>
    </row>
    <row r="252" customFormat="false" ht="14.25" hidden="false" customHeight="true" outlineLevel="0" collapsed="false">
      <c r="A252" s="82" t="s">
        <v>116</v>
      </c>
      <c r="B252" s="82" t="s">
        <v>117</v>
      </c>
      <c r="C252" s="82" t="str">
        <f aca="false">B105</f>
        <v/>
      </c>
      <c r="D252" s="82"/>
      <c r="E252" s="83"/>
      <c r="F252" s="82" t="n">
        <v>0</v>
      </c>
    </row>
    <row r="253" customFormat="false" ht="14.25" hidden="false" customHeight="true" outlineLevel="0" collapsed="false">
      <c r="A253" s="82" t="s">
        <v>118</v>
      </c>
      <c r="B253" s="82" t="s">
        <v>119</v>
      </c>
      <c r="C253" s="82" t="str">
        <f aca="false">B106</f>
        <v/>
      </c>
      <c r="D253" s="82"/>
      <c r="E253" s="83"/>
      <c r="F253" s="82" t="n">
        <v>0</v>
      </c>
    </row>
    <row r="254" customFormat="false" ht="14.25" hidden="false" customHeight="true" outlineLevel="0" collapsed="false">
      <c r="A254" s="82" t="s">
        <v>120</v>
      </c>
      <c r="B254" s="82" t="s">
        <v>121</v>
      </c>
      <c r="C254" s="82" t="str">
        <f aca="false">B107</f>
        <v/>
      </c>
      <c r="D254" s="82"/>
      <c r="E254" s="83"/>
      <c r="F254" s="82" t="n">
        <v>0</v>
      </c>
    </row>
    <row r="255" customFormat="false" ht="14.25" hidden="false" customHeight="true" outlineLevel="0" collapsed="false">
      <c r="A255" s="82" t="s">
        <v>122</v>
      </c>
      <c r="B255" s="82" t="s">
        <v>123</v>
      </c>
      <c r="C255" s="82" t="str">
        <f aca="false">B108</f>
        <v/>
      </c>
      <c r="D255" s="82"/>
      <c r="E255" s="83"/>
      <c r="F255" s="82" t="n">
        <v>0</v>
      </c>
    </row>
    <row r="256" customFormat="false" ht="14.25" hidden="false" customHeight="true" outlineLevel="0" collapsed="false">
      <c r="A256" s="82" t="s">
        <v>124</v>
      </c>
      <c r="B256" s="82" t="s">
        <v>125</v>
      </c>
      <c r="C256" s="82" t="str">
        <f aca="false">B109</f>
        <v/>
      </c>
      <c r="D256" s="82"/>
      <c r="E256" s="83"/>
      <c r="F256" s="82" t="n">
        <v>0</v>
      </c>
    </row>
    <row r="257" customFormat="false" ht="14.25" hidden="false" customHeight="true" outlineLevel="0" collapsed="false">
      <c r="A257" s="82" t="s">
        <v>126</v>
      </c>
      <c r="B257" s="82" t="s">
        <v>127</v>
      </c>
      <c r="C257" s="82" t="str">
        <f aca="false">B110</f>
        <v/>
      </c>
      <c r="D257" s="82"/>
      <c r="E257" s="83"/>
      <c r="F257" s="82" t="n">
        <v>0</v>
      </c>
    </row>
    <row r="258" customFormat="false" ht="14.25" hidden="false" customHeight="true" outlineLevel="0" collapsed="false">
      <c r="A258" s="82" t="s">
        <v>128</v>
      </c>
      <c r="B258" s="82" t="s">
        <v>129</v>
      </c>
      <c r="C258" s="82" t="str">
        <f aca="false">B111</f>
        <v/>
      </c>
      <c r="D258" s="82"/>
      <c r="E258" s="83"/>
      <c r="F258" s="82" t="n">
        <v>0</v>
      </c>
    </row>
    <row r="259" customFormat="false" ht="14.25" hidden="false" customHeight="true" outlineLevel="0" collapsed="false">
      <c r="A259" s="82" t="s">
        <v>130</v>
      </c>
      <c r="B259" s="82" t="s">
        <v>131</v>
      </c>
      <c r="C259" s="82" t="str">
        <f aca="false">B112</f>
        <v/>
      </c>
      <c r="D259" s="82"/>
      <c r="E259" s="83"/>
      <c r="F259" s="82" t="n">
        <v>0</v>
      </c>
    </row>
    <row r="260" customFormat="false" ht="14.25" hidden="false" customHeight="true" outlineLevel="0" collapsed="false">
      <c r="A260" s="82" t="s">
        <v>132</v>
      </c>
      <c r="B260" s="82" t="s">
        <v>133</v>
      </c>
      <c r="C260" s="82" t="str">
        <f aca="false">B113</f>
        <v/>
      </c>
      <c r="D260" s="82"/>
      <c r="E260" s="83"/>
      <c r="F260" s="82" t="n">
        <v>0</v>
      </c>
    </row>
    <row r="261" customFormat="false" ht="14.25" hidden="false" customHeight="true" outlineLevel="0" collapsed="false">
      <c r="A261" s="82" t="s">
        <v>134</v>
      </c>
      <c r="B261" s="82" t="s">
        <v>135</v>
      </c>
      <c r="C261" s="82" t="str">
        <f aca="false">B114</f>
        <v/>
      </c>
      <c r="D261" s="82"/>
      <c r="E261" s="83"/>
      <c r="F261" s="82" t="n">
        <v>0</v>
      </c>
    </row>
    <row r="262" customFormat="false" ht="14.25" hidden="false" customHeight="true" outlineLevel="0" collapsed="false">
      <c r="A262" s="82" t="s">
        <v>136</v>
      </c>
      <c r="B262" s="82" t="s">
        <v>137</v>
      </c>
      <c r="C262" s="82" t="str">
        <f aca="false">B115</f>
        <v/>
      </c>
      <c r="D262" s="82"/>
      <c r="E262" s="83"/>
      <c r="F262" s="82" t="n">
        <v>0</v>
      </c>
    </row>
    <row r="263" customFormat="false" ht="14.25" hidden="false" customHeight="true" outlineLevel="0" collapsed="false">
      <c r="A263" s="82" t="s">
        <v>138</v>
      </c>
      <c r="B263" s="82" t="s">
        <v>139</v>
      </c>
      <c r="C263" s="82" t="str">
        <f aca="false">B116</f>
        <v/>
      </c>
      <c r="D263" s="82"/>
      <c r="E263" s="83"/>
      <c r="F263" s="82" t="n">
        <v>0</v>
      </c>
    </row>
    <row r="264" customFormat="false" ht="14.25" hidden="false" customHeight="true" outlineLevel="0" collapsed="false">
      <c r="A264" s="82" t="s">
        <v>140</v>
      </c>
      <c r="B264" s="82" t="s">
        <v>141</v>
      </c>
      <c r="C264" s="82" t="str">
        <f aca="false">B117</f>
        <v/>
      </c>
      <c r="D264" s="82"/>
      <c r="E264" s="83"/>
      <c r="F264" s="82" t="n">
        <v>0</v>
      </c>
    </row>
    <row r="265" customFormat="false" ht="14.25" hidden="false" customHeight="true" outlineLevel="0" collapsed="false">
      <c r="A265" s="82" t="s">
        <v>142</v>
      </c>
      <c r="B265" s="82" t="s">
        <v>143</v>
      </c>
      <c r="C265" s="82" t="str">
        <f aca="false">B118</f>
        <v/>
      </c>
      <c r="D265" s="82"/>
      <c r="E265" s="83"/>
      <c r="F265" s="82" t="n">
        <v>0</v>
      </c>
    </row>
    <row r="266" customFormat="false" ht="14.25" hidden="false" customHeight="true" outlineLevel="0" collapsed="false">
      <c r="A266" s="82" t="s">
        <v>144</v>
      </c>
      <c r="B266" s="82" t="s">
        <v>145</v>
      </c>
      <c r="C266" s="82" t="str">
        <f aca="false">B119</f>
        <v/>
      </c>
      <c r="D266" s="82"/>
      <c r="E266" s="83"/>
      <c r="F266" s="82" t="n">
        <v>0</v>
      </c>
    </row>
    <row r="267" customFormat="false" ht="14.25" hidden="false" customHeight="true" outlineLevel="0" collapsed="false">
      <c r="A267" s="82" t="s">
        <v>146</v>
      </c>
      <c r="B267" s="82" t="s">
        <v>147</v>
      </c>
      <c r="C267" s="82" t="str">
        <f aca="false">B120</f>
        <v/>
      </c>
      <c r="D267" s="82"/>
      <c r="E267" s="83"/>
      <c r="F267" s="82" t="n">
        <v>0</v>
      </c>
    </row>
    <row r="268" customFormat="false" ht="14.25" hidden="false" customHeight="true" outlineLevel="0" collapsed="false">
      <c r="A268" s="82" t="s">
        <v>148</v>
      </c>
      <c r="B268" s="82" t="s">
        <v>149</v>
      </c>
      <c r="C268" s="82" t="str">
        <f aca="false">B121</f>
        <v/>
      </c>
      <c r="D268" s="82"/>
      <c r="E268" s="83"/>
      <c r="F268" s="82" t="n">
        <v>0</v>
      </c>
    </row>
    <row r="269" customFormat="false" ht="14.25" hidden="false" customHeight="true" outlineLevel="0" collapsed="false">
      <c r="A269" s="82" t="s">
        <v>150</v>
      </c>
      <c r="B269" s="82" t="s">
        <v>151</v>
      </c>
      <c r="C269" s="82" t="str">
        <f aca="false">B122</f>
        <v/>
      </c>
      <c r="D269" s="82"/>
      <c r="E269" s="83"/>
      <c r="F269" s="82" t="n">
        <v>0</v>
      </c>
    </row>
    <row r="270" customFormat="false" ht="14.25" hidden="false" customHeight="true" outlineLevel="0" collapsed="false">
      <c r="A270" s="82" t="s">
        <v>152</v>
      </c>
      <c r="B270" s="82" t="s">
        <v>153</v>
      </c>
      <c r="C270" s="82" t="str">
        <f aca="false">B123</f>
        <v/>
      </c>
      <c r="D270" s="82"/>
      <c r="E270" s="83"/>
      <c r="F270" s="82" t="n">
        <v>0</v>
      </c>
    </row>
    <row r="271" customFormat="false" ht="14.25" hidden="false" customHeight="true" outlineLevel="0" collapsed="false">
      <c r="A271" s="82" t="s">
        <v>154</v>
      </c>
      <c r="B271" s="82" t="s">
        <v>155</v>
      </c>
      <c r="C271" s="82" t="e">
        <f aca="false">C238</f>
        <v>#N/A</v>
      </c>
      <c r="D271" s="82"/>
      <c r="E271" s="83"/>
      <c r="F271" s="82" t="n">
        <v>0</v>
      </c>
    </row>
    <row r="272" customFormat="false" ht="14.25" hidden="false" customHeight="true" outlineLevel="0" collapsed="false">
      <c r="A272" s="82" t="s">
        <v>156</v>
      </c>
      <c r="B272" s="82" t="s">
        <v>157</v>
      </c>
      <c r="C272" s="82" t="e">
        <f aca="false">C239</f>
        <v>#N/A</v>
      </c>
      <c r="D272" s="82"/>
      <c r="E272" s="83"/>
      <c r="F272" s="82" t="n">
        <v>0</v>
      </c>
    </row>
    <row r="273" customFormat="false" ht="14.25" hidden="false" customHeight="true" outlineLevel="0" collapsed="false">
      <c r="A273" s="82" t="s">
        <v>158</v>
      </c>
      <c r="B273" s="82" t="s">
        <v>159</v>
      </c>
      <c r="C273" s="82" t="e">
        <f aca="false">C240</f>
        <v>#N/A</v>
      </c>
      <c r="D273" s="82"/>
      <c r="E273" s="83"/>
      <c r="F273" s="82" t="n">
        <v>0</v>
      </c>
    </row>
    <row r="274" customFormat="false" ht="14.25" hidden="false" customHeight="true" outlineLevel="0" collapsed="false">
      <c r="A274" s="82" t="s">
        <v>160</v>
      </c>
      <c r="B274" s="82" t="s">
        <v>161</v>
      </c>
      <c r="C274" s="82" t="e">
        <f aca="false">C241</f>
        <v>#N/A</v>
      </c>
      <c r="D274" s="82"/>
      <c r="E274" s="83"/>
      <c r="F274" s="82" t="n">
        <v>0</v>
      </c>
    </row>
    <row r="275" customFormat="false" ht="14.25" hidden="false" customHeight="true" outlineLevel="0" collapsed="false">
      <c r="A275" s="82" t="s">
        <v>162</v>
      </c>
      <c r="B275" s="82" t="s">
        <v>163</v>
      </c>
      <c r="C275" s="82" t="e">
        <f aca="false">C242</f>
        <v>#N/A</v>
      </c>
      <c r="D275" s="82"/>
      <c r="E275" s="83"/>
      <c r="F275" s="82" t="n">
        <v>0</v>
      </c>
    </row>
    <row r="276" customFormat="false" ht="14.25" hidden="false" customHeight="true" outlineLevel="0" collapsed="false">
      <c r="A276" s="82" t="s">
        <v>164</v>
      </c>
      <c r="B276" s="82" t="s">
        <v>165</v>
      </c>
      <c r="C276" s="82" t="e">
        <f aca="false">C243</f>
        <v>#N/A</v>
      </c>
      <c r="D276" s="82"/>
      <c r="E276" s="83"/>
      <c r="F276" s="82" t="n">
        <v>0</v>
      </c>
    </row>
    <row r="277" customFormat="false" ht="14.25" hidden="false" customHeight="true" outlineLevel="0" collapsed="false">
      <c r="A277" s="82" t="s">
        <v>166</v>
      </c>
      <c r="B277" s="82" t="s">
        <v>167</v>
      </c>
      <c r="C277" s="82" t="str">
        <f aca="false">C244</f>
        <v/>
      </c>
      <c r="D277" s="82"/>
      <c r="E277" s="83"/>
      <c r="F277" s="82" t="n">
        <v>0</v>
      </c>
    </row>
    <row r="278" customFormat="false" ht="14.25" hidden="false" customHeight="true" outlineLevel="0" collapsed="false">
      <c r="A278" s="82" t="s">
        <v>168</v>
      </c>
      <c r="B278" s="82" t="s">
        <v>169</v>
      </c>
      <c r="C278" s="82" t="str">
        <f aca="false">C245</f>
        <v/>
      </c>
      <c r="D278" s="82"/>
      <c r="E278" s="83"/>
      <c r="F278" s="82" t="n">
        <v>0</v>
      </c>
    </row>
    <row r="279" customFormat="false" ht="14.25" hidden="false" customHeight="true" outlineLevel="0" collapsed="false">
      <c r="A279" s="82" t="s">
        <v>170</v>
      </c>
      <c r="B279" s="82" t="s">
        <v>171</v>
      </c>
      <c r="C279" s="82" t="str">
        <f aca="false">C246</f>
        <v/>
      </c>
      <c r="D279" s="82"/>
      <c r="E279" s="83"/>
      <c r="F279" s="82" t="n">
        <v>0</v>
      </c>
    </row>
    <row r="280" customFormat="false" ht="14.25" hidden="false" customHeight="true" outlineLevel="0" collapsed="false">
      <c r="A280" s="82" t="s">
        <v>172</v>
      </c>
      <c r="B280" s="82" t="s">
        <v>173</v>
      </c>
      <c r="C280" s="82" t="str">
        <f aca="false">C247</f>
        <v/>
      </c>
      <c r="D280" s="82"/>
      <c r="E280" s="83"/>
      <c r="F280" s="82" t="n">
        <v>0</v>
      </c>
    </row>
    <row r="281" customFormat="false" ht="14.25" hidden="false" customHeight="true" outlineLevel="0" collapsed="false">
      <c r="A281" s="82" t="s">
        <v>174</v>
      </c>
      <c r="B281" s="82" t="s">
        <v>175</v>
      </c>
      <c r="C281" s="82" t="str">
        <f aca="false">C248</f>
        <v/>
      </c>
      <c r="D281" s="82"/>
      <c r="E281" s="83"/>
      <c r="F281" s="82" t="n">
        <v>0</v>
      </c>
    </row>
    <row r="282" customFormat="false" ht="14.25" hidden="false" customHeight="true" outlineLevel="0" collapsed="false">
      <c r="A282" s="82" t="s">
        <v>176</v>
      </c>
      <c r="B282" s="82" t="s">
        <v>177</v>
      </c>
      <c r="C282" s="82" t="str">
        <f aca="false">C249</f>
        <v/>
      </c>
      <c r="D282" s="82"/>
      <c r="E282" s="83"/>
      <c r="F282" s="82" t="n">
        <v>0</v>
      </c>
    </row>
    <row r="283" customFormat="false" ht="14.25" hidden="false" customHeight="true" outlineLevel="0" collapsed="false">
      <c r="A283" s="82" t="s">
        <v>178</v>
      </c>
      <c r="B283" s="82" t="s">
        <v>179</v>
      </c>
      <c r="C283" s="82" t="str">
        <f aca="false">C250</f>
        <v/>
      </c>
      <c r="D283" s="82"/>
      <c r="E283" s="83"/>
      <c r="F283" s="82" t="n">
        <v>0</v>
      </c>
    </row>
    <row r="284" customFormat="false" ht="14.25" hidden="false" customHeight="true" outlineLevel="0" collapsed="false">
      <c r="A284" s="82" t="s">
        <v>180</v>
      </c>
      <c r="B284" s="82" t="s">
        <v>181</v>
      </c>
      <c r="C284" s="82" t="str">
        <f aca="false">C251</f>
        <v/>
      </c>
      <c r="D284" s="82"/>
      <c r="E284" s="83"/>
      <c r="F284" s="82" t="n">
        <v>0</v>
      </c>
    </row>
    <row r="285" customFormat="false" ht="14.25" hidden="false" customHeight="true" outlineLevel="0" collapsed="false">
      <c r="A285" s="82" t="s">
        <v>182</v>
      </c>
      <c r="B285" s="82" t="s">
        <v>183</v>
      </c>
      <c r="C285" s="82" t="str">
        <f aca="false">C252</f>
        <v/>
      </c>
      <c r="D285" s="82"/>
      <c r="E285" s="83"/>
      <c r="F285" s="82" t="n">
        <v>0</v>
      </c>
    </row>
    <row r="286" customFormat="false" ht="14.25" hidden="false" customHeight="true" outlineLevel="0" collapsed="false">
      <c r="A286" s="82" t="s">
        <v>184</v>
      </c>
      <c r="B286" s="82" t="s">
        <v>185</v>
      </c>
      <c r="C286" s="82" t="str">
        <f aca="false">C253</f>
        <v/>
      </c>
      <c r="D286" s="82"/>
      <c r="E286" s="83"/>
      <c r="F286" s="82" t="n">
        <v>0</v>
      </c>
    </row>
    <row r="287" customFormat="false" ht="14.25" hidden="false" customHeight="true" outlineLevel="0" collapsed="false">
      <c r="A287" s="82" t="s">
        <v>186</v>
      </c>
      <c r="B287" s="82" t="s">
        <v>187</v>
      </c>
      <c r="C287" s="82" t="str">
        <f aca="false">C254</f>
        <v/>
      </c>
      <c r="D287" s="82"/>
      <c r="E287" s="83"/>
      <c r="F287" s="82" t="n">
        <v>0</v>
      </c>
    </row>
    <row r="288" customFormat="false" ht="14.25" hidden="false" customHeight="true" outlineLevel="0" collapsed="false">
      <c r="A288" s="82" t="s">
        <v>188</v>
      </c>
      <c r="B288" s="82" t="s">
        <v>189</v>
      </c>
      <c r="C288" s="82" t="str">
        <f aca="false">C255</f>
        <v/>
      </c>
      <c r="D288" s="82"/>
      <c r="E288" s="83"/>
      <c r="F288" s="82" t="n">
        <v>0</v>
      </c>
    </row>
    <row r="289" customFormat="false" ht="14.25" hidden="false" customHeight="true" outlineLevel="0" collapsed="false">
      <c r="A289" s="82" t="s">
        <v>190</v>
      </c>
      <c r="B289" s="82" t="s">
        <v>191</v>
      </c>
      <c r="C289" s="82" t="str">
        <f aca="false">C256</f>
        <v/>
      </c>
      <c r="D289" s="82"/>
      <c r="E289" s="83"/>
      <c r="F289" s="82" t="n">
        <v>0</v>
      </c>
    </row>
    <row r="290" customFormat="false" ht="14.25" hidden="false" customHeight="true" outlineLevel="0" collapsed="false">
      <c r="A290" s="82" t="s">
        <v>192</v>
      </c>
      <c r="B290" s="82" t="s">
        <v>193</v>
      </c>
      <c r="C290" s="82" t="str">
        <f aca="false">C257</f>
        <v/>
      </c>
      <c r="D290" s="82"/>
      <c r="E290" s="83"/>
      <c r="F290" s="82" t="n">
        <v>0</v>
      </c>
    </row>
    <row r="291" customFormat="false" ht="14.25" hidden="false" customHeight="true" outlineLevel="0" collapsed="false">
      <c r="A291" s="82" t="s">
        <v>194</v>
      </c>
      <c r="B291" s="82" t="s">
        <v>195</v>
      </c>
      <c r="C291" s="82" t="str">
        <f aca="false">C258</f>
        <v/>
      </c>
      <c r="D291" s="82"/>
      <c r="E291" s="83"/>
      <c r="F291" s="82" t="n">
        <v>0</v>
      </c>
    </row>
    <row r="292" customFormat="false" ht="14.25" hidden="false" customHeight="true" outlineLevel="0" collapsed="false">
      <c r="A292" s="82" t="s">
        <v>196</v>
      </c>
      <c r="B292" s="82" t="s">
        <v>197</v>
      </c>
      <c r="C292" s="82" t="str">
        <f aca="false">C259</f>
        <v/>
      </c>
      <c r="D292" s="82"/>
      <c r="E292" s="83"/>
      <c r="F292" s="82" t="n">
        <v>0</v>
      </c>
    </row>
    <row r="293" customFormat="false" ht="14.25" hidden="false" customHeight="true" outlineLevel="0" collapsed="false">
      <c r="A293" s="82" t="s">
        <v>198</v>
      </c>
      <c r="B293" s="82" t="s">
        <v>199</v>
      </c>
      <c r="C293" s="82" t="str">
        <f aca="false">C260</f>
        <v/>
      </c>
      <c r="D293" s="82"/>
      <c r="E293" s="83"/>
      <c r="F293" s="82" t="n">
        <v>0</v>
      </c>
    </row>
    <row r="294" customFormat="false" ht="14.25" hidden="false" customHeight="true" outlineLevel="0" collapsed="false">
      <c r="A294" s="82" t="s">
        <v>200</v>
      </c>
      <c r="B294" s="82" t="s">
        <v>201</v>
      </c>
      <c r="C294" s="82" t="str">
        <f aca="false">C261</f>
        <v/>
      </c>
      <c r="D294" s="82"/>
      <c r="E294" s="83"/>
      <c r="F294" s="82" t="n">
        <v>0</v>
      </c>
    </row>
    <row r="295" customFormat="false" ht="14.25" hidden="false" customHeight="true" outlineLevel="0" collapsed="false">
      <c r="A295" s="82" t="s">
        <v>202</v>
      </c>
      <c r="B295" s="82" t="s">
        <v>203</v>
      </c>
      <c r="C295" s="82" t="str">
        <f aca="false">C262</f>
        <v/>
      </c>
      <c r="D295" s="82"/>
      <c r="E295" s="83"/>
      <c r="F295" s="82" t="n">
        <v>0</v>
      </c>
    </row>
    <row r="296" customFormat="false" ht="14.25" hidden="false" customHeight="true" outlineLevel="0" collapsed="false">
      <c r="A296" s="82" t="s">
        <v>204</v>
      </c>
      <c r="B296" s="82" t="s">
        <v>205</v>
      </c>
      <c r="C296" s="82" t="str">
        <f aca="false">C263</f>
        <v/>
      </c>
      <c r="D296" s="82"/>
      <c r="E296" s="83"/>
      <c r="F296" s="82" t="n">
        <v>0</v>
      </c>
    </row>
    <row r="297" customFormat="false" ht="14.25" hidden="false" customHeight="true" outlineLevel="0" collapsed="false">
      <c r="A297" s="82" t="s">
        <v>206</v>
      </c>
      <c r="B297" s="82" t="s">
        <v>207</v>
      </c>
      <c r="C297" s="82" t="str">
        <f aca="false">C264</f>
        <v/>
      </c>
      <c r="D297" s="82"/>
      <c r="E297" s="83"/>
      <c r="F297" s="82" t="n">
        <v>0</v>
      </c>
    </row>
    <row r="298" customFormat="false" ht="14.25" hidden="false" customHeight="true" outlineLevel="0" collapsed="false">
      <c r="A298" s="82" t="s">
        <v>208</v>
      </c>
      <c r="B298" s="82" t="s">
        <v>209</v>
      </c>
      <c r="C298" s="82" t="str">
        <f aca="false">C265</f>
        <v/>
      </c>
      <c r="D298" s="82"/>
      <c r="E298" s="83"/>
      <c r="F298" s="82" t="n">
        <v>0</v>
      </c>
    </row>
    <row r="299" customFormat="false" ht="14.25" hidden="false" customHeight="true" outlineLevel="0" collapsed="false">
      <c r="A299" s="82" t="s">
        <v>210</v>
      </c>
      <c r="B299" s="82" t="s">
        <v>211</v>
      </c>
      <c r="C299" s="82" t="str">
        <f aca="false">C266</f>
        <v/>
      </c>
      <c r="D299" s="82"/>
      <c r="E299" s="83"/>
      <c r="F299" s="82" t="n">
        <v>0</v>
      </c>
    </row>
    <row r="300" customFormat="false" ht="14.25" hidden="false" customHeight="true" outlineLevel="0" collapsed="false">
      <c r="A300" s="82" t="s">
        <v>212</v>
      </c>
      <c r="B300" s="82" t="s">
        <v>213</v>
      </c>
      <c r="C300" s="82" t="str">
        <f aca="false">C267</f>
        <v/>
      </c>
      <c r="D300" s="82"/>
      <c r="E300" s="83"/>
      <c r="F300" s="82" t="n">
        <v>0</v>
      </c>
    </row>
    <row r="301" customFormat="false" ht="14.25" hidden="false" customHeight="true" outlineLevel="0" collapsed="false">
      <c r="A301" s="82" t="s">
        <v>214</v>
      </c>
      <c r="B301" s="82" t="s">
        <v>215</v>
      </c>
      <c r="C301" s="82" t="str">
        <f aca="false">C268</f>
        <v/>
      </c>
      <c r="D301" s="82"/>
      <c r="E301" s="83"/>
      <c r="F301" s="82" t="n">
        <v>0</v>
      </c>
    </row>
    <row r="302" customFormat="false" ht="14.25" hidden="false" customHeight="true" outlineLevel="0" collapsed="false">
      <c r="A302" s="82" t="s">
        <v>216</v>
      </c>
      <c r="B302" s="82" t="s">
        <v>217</v>
      </c>
      <c r="C302" s="82" t="str">
        <f aca="false">C269</f>
        <v/>
      </c>
      <c r="D302" s="82"/>
      <c r="E302" s="83"/>
      <c r="F302" s="82" t="n">
        <v>0</v>
      </c>
    </row>
    <row r="303" customFormat="false" ht="14.25" hidden="false" customHeight="true" outlineLevel="0" collapsed="false">
      <c r="A303" s="82" t="s">
        <v>218</v>
      </c>
      <c r="B303" s="82" t="s">
        <v>219</v>
      </c>
      <c r="C303" s="82" t="str">
        <f aca="false">C270</f>
        <v/>
      </c>
      <c r="D303" s="82"/>
      <c r="E303" s="83"/>
      <c r="F303" s="82" t="n">
        <v>0</v>
      </c>
    </row>
    <row r="304" customFormat="false" ht="14.25" hidden="false" customHeight="true" outlineLevel="0" collapsed="false">
      <c r="A304" s="82" t="s">
        <v>220</v>
      </c>
      <c r="B304" s="82" t="s">
        <v>221</v>
      </c>
      <c r="C304" s="82" t="e">
        <f aca="false">C271</f>
        <v>#N/A</v>
      </c>
      <c r="D304" s="82"/>
      <c r="E304" s="83"/>
      <c r="F304" s="82" t="n">
        <v>0</v>
      </c>
    </row>
    <row r="305" customFormat="false" ht="14.25" hidden="false" customHeight="true" outlineLevel="0" collapsed="false">
      <c r="A305" s="82" t="s">
        <v>222</v>
      </c>
      <c r="B305" s="82" t="s">
        <v>223</v>
      </c>
      <c r="C305" s="82" t="e">
        <f aca="false">C272</f>
        <v>#N/A</v>
      </c>
      <c r="D305" s="82"/>
      <c r="E305" s="83"/>
      <c r="F305" s="82" t="n">
        <v>0</v>
      </c>
    </row>
    <row r="306" customFormat="false" ht="14.25" hidden="false" customHeight="true" outlineLevel="0" collapsed="false">
      <c r="A306" s="82" t="s">
        <v>224</v>
      </c>
      <c r="B306" s="82" t="s">
        <v>225</v>
      </c>
      <c r="C306" s="82" t="e">
        <f aca="false">C273</f>
        <v>#N/A</v>
      </c>
      <c r="D306" s="82"/>
      <c r="E306" s="83"/>
      <c r="F306" s="82" t="n">
        <v>0</v>
      </c>
    </row>
    <row r="307" customFormat="false" ht="14.25" hidden="false" customHeight="true" outlineLevel="0" collapsed="false">
      <c r="A307" s="82" t="s">
        <v>226</v>
      </c>
      <c r="B307" s="82" t="s">
        <v>227</v>
      </c>
      <c r="C307" s="82" t="e">
        <f aca="false">C274</f>
        <v>#N/A</v>
      </c>
      <c r="D307" s="82"/>
      <c r="E307" s="83"/>
      <c r="F307" s="82" t="n">
        <v>0</v>
      </c>
    </row>
    <row r="308" customFormat="false" ht="14.25" hidden="false" customHeight="true" outlineLevel="0" collapsed="false">
      <c r="A308" s="82"/>
      <c r="B308" s="82"/>
      <c r="C308" s="82"/>
      <c r="D308" s="82"/>
      <c r="E308" s="83"/>
      <c r="F308" s="82"/>
    </row>
    <row r="323" customFormat="false" ht="14.25" hidden="false" customHeight="true" outlineLevel="0" collapsed="false">
      <c r="B323" s="84" t="s">
        <v>243</v>
      </c>
      <c r="C323" s="85" t="s">
        <v>244</v>
      </c>
      <c r="D323" s="86"/>
      <c r="E323" s="85" t="s">
        <v>245</v>
      </c>
      <c r="F323" s="86"/>
      <c r="G323" s="87" t="s">
        <v>246</v>
      </c>
      <c r="H323" s="86"/>
      <c r="I323" s="82"/>
      <c r="J323" s="82"/>
      <c r="K323" s="82"/>
    </row>
    <row r="324" customFormat="false" ht="15" hidden="false" customHeight="true" outlineLevel="0" collapsed="false">
      <c r="B324" s="88"/>
      <c r="C324" s="89" t="s">
        <v>248</v>
      </c>
      <c r="D324" s="90" t="s">
        <v>249</v>
      </c>
      <c r="E324" s="89" t="s">
        <v>248</v>
      </c>
      <c r="F324" s="90" t="s">
        <v>84</v>
      </c>
      <c r="G324" s="89" t="s">
        <v>248</v>
      </c>
      <c r="H324" s="90" t="s">
        <v>84</v>
      </c>
      <c r="I324" s="82" t="s">
        <v>237</v>
      </c>
      <c r="J324" s="82" t="s">
        <v>250</v>
      </c>
      <c r="K324" s="82"/>
    </row>
    <row r="325" customFormat="false" ht="15" hidden="false" customHeight="true" outlineLevel="0" collapsed="false">
      <c r="B325" s="91" t="s">
        <v>251</v>
      </c>
      <c r="C325" s="92" t="n">
        <f aca="false">AVERAGE($G126:$MP126)</f>
        <v>0</v>
      </c>
      <c r="D325" s="93" t="n">
        <f aca="false">C325/36</f>
        <v>0</v>
      </c>
      <c r="E325" s="92" t="n">
        <f aca="false">MIN($G126:$MP126)</f>
        <v>0</v>
      </c>
      <c r="F325" s="94" t="n">
        <f aca="false">COUNTIF($G126:$MP126,E325)</f>
        <v>6</v>
      </c>
      <c r="G325" s="92" t="n">
        <f aca="false">MAX($G126:$MP126)</f>
        <v>0</v>
      </c>
      <c r="H325" s="94" t="n">
        <f aca="false">COUNTIF($G126:$MP126,G325)</f>
        <v>6</v>
      </c>
      <c r="I325" s="82" t="n">
        <f aca="false">C325*C176</f>
        <v>0</v>
      </c>
      <c r="J325" s="95" t="n">
        <f aca="false">(G325-E325)*C176</f>
        <v>0</v>
      </c>
      <c r="K325" s="82"/>
    </row>
    <row r="326" customFormat="false" ht="14.25" hidden="false" customHeight="true" outlineLevel="0" collapsed="false">
      <c r="B326" s="91" t="s">
        <v>6</v>
      </c>
      <c r="C326" s="92" t="e">
        <f aca="false">AVERAGE($G127:$MP127)/$C$104</f>
        <v>#DIV/0!</v>
      </c>
      <c r="D326" s="93" t="e">
        <f aca="false">C326/16</f>
        <v>#DIV/0!</v>
      </c>
      <c r="E326" s="92" t="e">
        <f aca="false">MIN($G127:$MP127)/$C$104</f>
        <v>#DIV/0!</v>
      </c>
      <c r="F326" s="94" t="e">
        <f aca="false">COUNTIF($G127:$MP127,E326*$C$104)</f>
        <v>#DIV/0!</v>
      </c>
      <c r="G326" s="92" t="e">
        <f aca="false">MAX($G127:$MP127)/$C$104</f>
        <v>#DIV/0!</v>
      </c>
      <c r="H326" s="94" t="e">
        <f aca="false">COUNTIF($G127:$MP127,G326*$C$104)</f>
        <v>#DIV/0!</v>
      </c>
      <c r="I326" s="82" t="e">
        <f aca="false">C326*C177</f>
        <v>#DIV/0!</v>
      </c>
      <c r="J326" s="95" t="e">
        <f aca="false">(G326-E326)*C177</f>
        <v>#DIV/0!</v>
      </c>
      <c r="K326" s="82"/>
    </row>
    <row r="327" customFormat="false" ht="14.25" hidden="false" customHeight="true" outlineLevel="0" collapsed="false">
      <c r="B327" s="91" t="s">
        <v>7</v>
      </c>
      <c r="C327" s="92" t="e">
        <f aca="false">AVERAGE($G128:$MP128)/$C$104</f>
        <v>#DIV/0!</v>
      </c>
      <c r="D327" s="93" t="e">
        <f aca="false">C327/16</f>
        <v>#DIV/0!</v>
      </c>
      <c r="E327" s="92" t="e">
        <f aca="false">MIN($G128:$MP128)/$C$104</f>
        <v>#DIV/0!</v>
      </c>
      <c r="F327" s="94" t="e">
        <f aca="false">COUNTIF($G128:$MP128,E327*$C$104)</f>
        <v>#DIV/0!</v>
      </c>
      <c r="G327" s="92" t="e">
        <f aca="false">MAX($G128:$MP128)/$C$104</f>
        <v>#DIV/0!</v>
      </c>
      <c r="H327" s="94" t="e">
        <f aca="false">COUNTIF($G128:$MP128,G327*$C$104)</f>
        <v>#DIV/0!</v>
      </c>
      <c r="I327" s="82" t="e">
        <f aca="false">C327*C178</f>
        <v>#DIV/0!</v>
      </c>
      <c r="J327" s="95" t="e">
        <f aca="false">(G327-E327)*C178</f>
        <v>#DIV/0!</v>
      </c>
      <c r="K327" s="82"/>
    </row>
    <row r="328" customFormat="false" ht="14.25" hidden="false" customHeight="true" outlineLevel="0" collapsed="false">
      <c r="B328" s="91" t="s">
        <v>26</v>
      </c>
      <c r="C328" s="92" t="e">
        <f aca="false">AVERAGE($G146:$MP146)/$C$105</f>
        <v>#DIV/0!</v>
      </c>
      <c r="D328" s="93" t="e">
        <f aca="false">C328/8</f>
        <v>#DIV/0!</v>
      </c>
      <c r="E328" s="92" t="e">
        <f aca="false">MIN($G146:$MP146)/$C$105</f>
        <v>#DIV/0!</v>
      </c>
      <c r="F328" s="94" t="e">
        <f aca="false">COUNTIF($G146:$MP146,E328*$C$105)</f>
        <v>#DIV/0!</v>
      </c>
      <c r="G328" s="92" t="e">
        <f aca="false">MAX($G146:$MP146)/$C$105</f>
        <v>#DIV/0!</v>
      </c>
      <c r="H328" s="94" t="e">
        <f aca="false">COUNTIF($G146:$MP146,G328*$C$105)</f>
        <v>#DIV/0!</v>
      </c>
      <c r="I328" s="82" t="e">
        <f aca="false">C328*C179</f>
        <v>#DIV/0!</v>
      </c>
      <c r="J328" s="95" t="e">
        <f aca="false">(G328-E328)*C179</f>
        <v>#DIV/0!</v>
      </c>
      <c r="K328" s="82"/>
    </row>
    <row r="329" customFormat="false" ht="14.25" hidden="false" customHeight="true" outlineLevel="0" collapsed="false">
      <c r="B329" s="91" t="s">
        <v>37</v>
      </c>
      <c r="C329" s="92" t="e">
        <f aca="false">AVERAGE($G156:$MP156)/$C$106</f>
        <v>#DIV/0!</v>
      </c>
      <c r="D329" s="93" t="e">
        <f aca="false">C329/4</f>
        <v>#DIV/0!</v>
      </c>
      <c r="E329" s="92" t="e">
        <f aca="false">MIN($G156:$MP156)/$C$106</f>
        <v>#DIV/0!</v>
      </c>
      <c r="F329" s="94" t="e">
        <f aca="false">COUNTIF($G156:$MP156,E329*$C$106)</f>
        <v>#DIV/0!</v>
      </c>
      <c r="G329" s="92" t="e">
        <f aca="false">MAX($G156:$MP156)/$C$106</f>
        <v>#DIV/0!</v>
      </c>
      <c r="H329" s="94" t="e">
        <f aca="false">COUNTIF($G156:$MP156,G329*$C$106)</f>
        <v>#DIV/0!</v>
      </c>
      <c r="I329" s="82" t="e">
        <f aca="false">C329*C180</f>
        <v>#DIV/0!</v>
      </c>
      <c r="J329" s="95" t="e">
        <f aca="false">(G329-E329)*C180</f>
        <v>#DIV/0!</v>
      </c>
      <c r="K329" s="82"/>
    </row>
    <row r="330" customFormat="false" ht="14.25" hidden="false" customHeight="true" outlineLevel="0" collapsed="false">
      <c r="B330" s="91" t="s">
        <v>253</v>
      </c>
      <c r="C330" s="92" t="e">
        <f aca="false">AVERAGE($G162:$MP162)/$C$107</f>
        <v>#DIV/0!</v>
      </c>
      <c r="D330" s="93" t="e">
        <f aca="false">C330/2</f>
        <v>#DIV/0!</v>
      </c>
      <c r="E330" s="92" t="e">
        <f aca="false">MIN($G162:$MP162)/$C$107</f>
        <v>#DIV/0!</v>
      </c>
      <c r="F330" s="94" t="e">
        <f aca="false">COUNTIF($G162:$MP162,E330*$C$107)</f>
        <v>#DIV/0!</v>
      </c>
      <c r="G330" s="92" t="e">
        <f aca="false">MAX($G162:$MP162)/$C$107</f>
        <v>#DIV/0!</v>
      </c>
      <c r="H330" s="94" t="e">
        <f aca="false">COUNTIF($G162:$MP162,G330*$C$107)</f>
        <v>#DIV/0!</v>
      </c>
      <c r="I330" s="82" t="e">
        <f aca="false">C330*C181</f>
        <v>#DIV/0!</v>
      </c>
      <c r="J330" s="95" t="e">
        <f aca="false">(G330-E330)*C181</f>
        <v>#DIV/0!</v>
      </c>
      <c r="K330" s="82"/>
    </row>
    <row r="331" customFormat="false" ht="14.25" hidden="false" customHeight="true" outlineLevel="0" collapsed="false">
      <c r="B331" s="96" t="s">
        <v>49</v>
      </c>
      <c r="C331" s="97" t="e">
        <f aca="false">AVERAGE($G166:$MP166)/$C$108</f>
        <v>#DIV/0!</v>
      </c>
      <c r="D331" s="98" t="e">
        <f aca="false">C331/1</f>
        <v>#DIV/0!</v>
      </c>
      <c r="E331" s="97" t="e">
        <f aca="false">MIN($G166:$MP166)/$C$108</f>
        <v>#DIV/0!</v>
      </c>
      <c r="F331" s="99" t="e">
        <f aca="false">COUNTIF($G166:$MP166,E331*$C$108)</f>
        <v>#DIV/0!</v>
      </c>
      <c r="G331" s="97" t="e">
        <f aca="false">MAX($G166:$MP166)/$C$108</f>
        <v>#DIV/0!</v>
      </c>
      <c r="H331" s="99" t="e">
        <f aca="false">COUNTIF($G166:$MP166,G331*$C$108)</f>
        <v>#DIV/0!</v>
      </c>
      <c r="I331" s="82" t="e">
        <f aca="false">C331*C182</f>
        <v>#DIV/0!</v>
      </c>
      <c r="J331" s="95" t="e">
        <f aca="false">(G331-E331)*C182</f>
        <v>#DIV/0!</v>
      </c>
      <c r="K33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47" activeCellId="0" sqref="I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306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279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0</v>
      </c>
      <c r="M12" s="170" t="n">
        <v>0</v>
      </c>
      <c r="N12" s="170" t="n">
        <v>3</v>
      </c>
      <c r="O12" s="170" t="s">
        <v>347</v>
      </c>
      <c r="P12" s="171" t="n">
        <v>0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273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279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279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262</v>
      </c>
      <c r="K21" s="157" t="n">
        <v>3</v>
      </c>
      <c r="L21" s="157" t="n">
        <v>3</v>
      </c>
      <c r="M21" s="157" t="n">
        <v>0</v>
      </c>
      <c r="N21" s="157" t="n">
        <v>0</v>
      </c>
      <c r="O21" s="157" t="s">
        <v>365</v>
      </c>
      <c r="P21" s="158" t="n">
        <v>9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273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264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368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1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264</v>
      </c>
      <c r="BM23" s="141" t="n">
        <v>0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284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261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3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1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0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261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296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284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257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272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1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301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1</v>
      </c>
      <c r="BN66" s="141" t="n">
        <v>2</v>
      </c>
      <c r="BO66" s="141" t="n">
        <v>3</v>
      </c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 t="n">
        <v>2</v>
      </c>
      <c r="BO67" s="141" t="n">
        <v>5</v>
      </c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301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301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0</v>
      </c>
      <c r="N75" s="157" t="n">
        <v>1</v>
      </c>
      <c r="O75" s="157" t="s">
        <v>453</v>
      </c>
      <c r="P75" s="158" t="n">
        <v>6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267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455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2</v>
      </c>
      <c r="M77" s="161" t="n">
        <v>0</v>
      </c>
      <c r="N77" s="161" t="n">
        <v>1</v>
      </c>
      <c r="O77" s="161" t="s">
        <v>343</v>
      </c>
      <c r="P77" s="162" t="n">
        <v>6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460</v>
      </c>
      <c r="K81" s="192" t="n">
        <v>3</v>
      </c>
      <c r="L81" s="192" t="n">
        <v>2</v>
      </c>
      <c r="M81" s="192" t="n">
        <v>0</v>
      </c>
      <c r="N81" s="192" t="n">
        <v>1</v>
      </c>
      <c r="O81" s="192" t="s">
        <v>343</v>
      </c>
      <c r="P81" s="193" t="n">
        <v>6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463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343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470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411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60" activeCellId="0" sqref="A60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496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499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266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1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278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266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266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259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282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267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267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500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501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463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343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502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501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470</v>
      </c>
      <c r="K83" s="195" t="n">
        <v>3</v>
      </c>
      <c r="L83" s="195" t="n">
        <v>1</v>
      </c>
      <c r="M83" s="195" t="n">
        <v>0</v>
      </c>
      <c r="N83" s="195" t="n">
        <v>2</v>
      </c>
      <c r="O83" s="195" t="s">
        <v>411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M25" colorId="64" zoomScale="100" zoomScaleNormal="100" zoomScalePageLayoutView="100" workbookViewId="0">
      <selection pane="topLeft" activeCell="CR41" activeCellId="0" sqref="CR4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503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2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2</v>
      </c>
      <c r="G15" s="141" t="n">
        <v>2</v>
      </c>
      <c r="H15" s="151" t="s">
        <v>277</v>
      </c>
      <c r="J15" s="156" t="s">
        <v>283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504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274</v>
      </c>
      <c r="K16" s="161" t="n">
        <v>3</v>
      </c>
      <c r="L16" s="161" t="n">
        <v>1</v>
      </c>
      <c r="M16" s="161" t="n">
        <v>2</v>
      </c>
      <c r="N16" s="161" t="n">
        <v>0</v>
      </c>
      <c r="O16" s="161" t="s">
        <v>504</v>
      </c>
      <c r="P16" s="162" t="n">
        <v>5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1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0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0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0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274</v>
      </c>
      <c r="BM19" s="141" t="n">
        <v>1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274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400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2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505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276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292</v>
      </c>
      <c r="BM26" s="141" t="n">
        <v>0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276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397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1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1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0</v>
      </c>
      <c r="N28" s="161" t="n">
        <v>2</v>
      </c>
      <c r="O28" s="161" t="s">
        <v>438</v>
      </c>
      <c r="P28" s="162" t="n">
        <v>3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0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258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1</v>
      </c>
      <c r="M30" s="170" t="n">
        <v>0</v>
      </c>
      <c r="N30" s="170" t="n">
        <v>2</v>
      </c>
      <c r="O30" s="170" t="s">
        <v>379</v>
      </c>
      <c r="P30" s="171" t="n">
        <v>3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1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0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258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276</v>
      </c>
      <c r="CA33" s="141" t="n">
        <v>1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411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276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1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281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2</v>
      </c>
      <c r="N36" s="170" t="n">
        <v>1</v>
      </c>
      <c r="O36" s="170" t="s">
        <v>411</v>
      </c>
      <c r="P36" s="171" t="n">
        <v>2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276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262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268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382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264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351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265</v>
      </c>
      <c r="K46" s="161" t="n">
        <v>3</v>
      </c>
      <c r="L46" s="161" t="n">
        <v>1</v>
      </c>
      <c r="M46" s="161" t="n">
        <v>2</v>
      </c>
      <c r="N46" s="161" t="n">
        <v>0</v>
      </c>
      <c r="O46" s="161" t="s">
        <v>506</v>
      </c>
      <c r="P46" s="162" t="n">
        <v>5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501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262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264</v>
      </c>
      <c r="CA48" s="141" t="n">
        <v>0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1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1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269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507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272</v>
      </c>
      <c r="K53" s="161" t="n">
        <v>3</v>
      </c>
      <c r="L53" s="161" t="n">
        <v>0</v>
      </c>
      <c r="M53" s="161" t="n">
        <v>2</v>
      </c>
      <c r="N53" s="161" t="n">
        <v>1</v>
      </c>
      <c r="O53" s="161" t="s">
        <v>508</v>
      </c>
      <c r="P53" s="162" t="n">
        <v>2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508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260</v>
      </c>
      <c r="CH55" s="141" t="n">
        <v>0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268</v>
      </c>
      <c r="CH56" s="141" t="n">
        <v>1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0</v>
      </c>
      <c r="N58" s="161" t="n">
        <v>2</v>
      </c>
      <c r="O58" s="161" t="s">
        <v>438</v>
      </c>
      <c r="P58" s="162" t="n">
        <v>3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438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1</v>
      </c>
      <c r="M60" s="170" t="n">
        <v>0</v>
      </c>
      <c r="N60" s="170" t="n">
        <v>2</v>
      </c>
      <c r="O60" s="170" t="s">
        <v>448</v>
      </c>
      <c r="P60" s="171" t="n">
        <v>3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417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509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268</v>
      </c>
      <c r="CA65" s="141" t="n">
        <v>1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2</v>
      </c>
      <c r="H70" s="151" t="s">
        <v>265</v>
      </c>
      <c r="I70" s="181"/>
      <c r="J70" s="160" t="s">
        <v>292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507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261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448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498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1</v>
      </c>
      <c r="N77" s="161" t="n">
        <v>1</v>
      </c>
      <c r="O77" s="161" t="s">
        <v>354</v>
      </c>
      <c r="P77" s="162" t="n">
        <v>4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502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354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470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463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510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511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474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477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438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462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355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469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512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508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2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0</v>
      </c>
      <c r="H9" s="151" t="s">
        <v>299</v>
      </c>
      <c r="J9" s="156" t="s">
        <v>289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400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277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279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303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0</v>
      </c>
      <c r="H12" s="151" t="s">
        <v>276</v>
      </c>
      <c r="J12" s="169" t="s">
        <v>270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438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303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1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3</v>
      </c>
      <c r="H15" s="151" t="s">
        <v>277</v>
      </c>
      <c r="J15" s="156" t="s">
        <v>294</v>
      </c>
      <c r="K15" s="157" t="n">
        <v>3</v>
      </c>
      <c r="L15" s="157" t="n">
        <v>2</v>
      </c>
      <c r="M15" s="157" t="n">
        <v>0</v>
      </c>
      <c r="N15" s="157" t="n">
        <v>1</v>
      </c>
      <c r="O15" s="157" t="s">
        <v>499</v>
      </c>
      <c r="P15" s="158" t="n">
        <v>6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299</v>
      </c>
      <c r="K16" s="161" t="n">
        <v>3</v>
      </c>
      <c r="L16" s="161" t="n">
        <v>1</v>
      </c>
      <c r="M16" s="161" t="n">
        <v>1</v>
      </c>
      <c r="N16" s="161" t="n">
        <v>1</v>
      </c>
      <c r="O16" s="161" t="s">
        <v>379</v>
      </c>
      <c r="P16" s="162" t="n">
        <v>4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0</v>
      </c>
      <c r="H17" s="151" t="s">
        <v>273</v>
      </c>
      <c r="J17" s="160" t="s">
        <v>283</v>
      </c>
      <c r="K17" s="161" t="n">
        <v>3</v>
      </c>
      <c r="L17" s="161" t="n">
        <v>1</v>
      </c>
      <c r="M17" s="161" t="n">
        <v>1</v>
      </c>
      <c r="N17" s="161" t="n">
        <v>1</v>
      </c>
      <c r="O17" s="161" t="s">
        <v>448</v>
      </c>
      <c r="P17" s="162" t="n">
        <v>4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3</v>
      </c>
      <c r="G18" s="141" t="n">
        <v>1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497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3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2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299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2</v>
      </c>
      <c r="G21" s="141" t="n">
        <v>1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0</v>
      </c>
      <c r="N21" s="157" t="n">
        <v>1</v>
      </c>
      <c r="O21" s="157" t="s">
        <v>514</v>
      </c>
      <c r="P21" s="158" t="n">
        <v>6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1</v>
      </c>
      <c r="G22" s="141" t="n">
        <v>0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509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291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438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1</v>
      </c>
      <c r="M24" s="170" t="n">
        <v>0</v>
      </c>
      <c r="N24" s="170" t="n">
        <v>2</v>
      </c>
      <c r="O24" s="170" t="s">
        <v>379</v>
      </c>
      <c r="P24" s="171" t="n">
        <v>3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283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4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3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504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3</v>
      </c>
      <c r="G28" s="141" t="n">
        <v>0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400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0</v>
      </c>
      <c r="H29" s="151" t="s">
        <v>292</v>
      </c>
      <c r="J29" s="160" t="s">
        <v>276</v>
      </c>
      <c r="K29" s="161" t="n">
        <v>3</v>
      </c>
      <c r="L29" s="161" t="n">
        <v>1</v>
      </c>
      <c r="M29" s="161" t="n">
        <v>1</v>
      </c>
      <c r="N29" s="161" t="n">
        <v>1</v>
      </c>
      <c r="O29" s="161" t="s">
        <v>354</v>
      </c>
      <c r="P29" s="162" t="n">
        <v>4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2</v>
      </c>
      <c r="G30" s="141" t="n">
        <v>0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413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272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2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0</v>
      </c>
      <c r="G33" s="141" t="n">
        <v>3</v>
      </c>
      <c r="H33" s="151" t="s">
        <v>294</v>
      </c>
      <c r="J33" s="156" t="s">
        <v>277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515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283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266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354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0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286</v>
      </c>
      <c r="K35" s="161" t="n">
        <v>3</v>
      </c>
      <c r="L35" s="161" t="n">
        <v>0</v>
      </c>
      <c r="M35" s="161" t="n">
        <v>2</v>
      </c>
      <c r="N35" s="161" t="n">
        <v>1</v>
      </c>
      <c r="O35" s="161" t="s">
        <v>516</v>
      </c>
      <c r="P35" s="162" t="n">
        <v>2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283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1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517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283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2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275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283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275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269</v>
      </c>
      <c r="CO38" s="141" t="n">
        <v>7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291</v>
      </c>
      <c r="K39" s="157" t="n">
        <v>3</v>
      </c>
      <c r="L39" s="157" t="n">
        <v>1</v>
      </c>
      <c r="M39" s="157" t="n">
        <v>1</v>
      </c>
      <c r="N39" s="157" t="n">
        <v>1</v>
      </c>
      <c r="O39" s="157" t="s">
        <v>368</v>
      </c>
      <c r="P39" s="158" t="n">
        <v>4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279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3</v>
      </c>
      <c r="G40" s="141" t="n">
        <v>1</v>
      </c>
      <c r="H40" s="151" t="s">
        <v>302</v>
      </c>
      <c r="J40" s="160" t="s">
        <v>273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514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1</v>
      </c>
      <c r="N41" s="161" t="n">
        <v>1</v>
      </c>
      <c r="O41" s="161" t="s">
        <v>497</v>
      </c>
      <c r="P41" s="162" t="n">
        <v>4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0</v>
      </c>
      <c r="H42" s="151" t="s">
        <v>273</v>
      </c>
      <c r="J42" s="169" t="s">
        <v>263</v>
      </c>
      <c r="K42" s="170" t="n">
        <v>3</v>
      </c>
      <c r="L42" s="170" t="n">
        <v>1</v>
      </c>
      <c r="M42" s="170" t="n">
        <v>1</v>
      </c>
      <c r="N42" s="170" t="n">
        <v>1</v>
      </c>
      <c r="O42" s="170" t="s">
        <v>518</v>
      </c>
      <c r="P42" s="171" t="n">
        <v>4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273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1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1</v>
      </c>
      <c r="G45" s="141" t="n">
        <v>2</v>
      </c>
      <c r="H45" s="151" t="s">
        <v>275</v>
      </c>
      <c r="J45" s="156" t="s">
        <v>275</v>
      </c>
      <c r="K45" s="157" t="n">
        <v>3</v>
      </c>
      <c r="L45" s="157" t="n">
        <v>3</v>
      </c>
      <c r="M45" s="157" t="n">
        <v>0</v>
      </c>
      <c r="N45" s="157" t="n">
        <v>0</v>
      </c>
      <c r="O45" s="157" t="s">
        <v>376</v>
      </c>
      <c r="P45" s="158" t="n">
        <v>9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266</v>
      </c>
      <c r="BT45" s="141" t="n">
        <v>4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1</v>
      </c>
      <c r="G46" s="141" t="n">
        <v>1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400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266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2</v>
      </c>
      <c r="G47" s="141" t="n">
        <v>2</v>
      </c>
      <c r="H47" s="151" t="s">
        <v>269</v>
      </c>
      <c r="J47" s="160" t="s">
        <v>304</v>
      </c>
      <c r="K47" s="161" t="n">
        <v>3</v>
      </c>
      <c r="L47" s="161" t="n">
        <v>0</v>
      </c>
      <c r="M47" s="161" t="n">
        <v>1</v>
      </c>
      <c r="N47" s="161" t="n">
        <v>2</v>
      </c>
      <c r="O47" s="161" t="s">
        <v>379</v>
      </c>
      <c r="P47" s="162" t="n">
        <v>1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269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282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518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266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3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269</v>
      </c>
      <c r="CA49" s="141" t="n">
        <v>4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3</v>
      </c>
      <c r="G50" s="141" t="n">
        <v>4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4</v>
      </c>
      <c r="G51" s="141" t="n">
        <v>1</v>
      </c>
      <c r="H51" s="151" t="s">
        <v>301</v>
      </c>
      <c r="J51" s="156" t="s">
        <v>272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300</v>
      </c>
      <c r="BM51" s="141" t="n">
        <v>3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3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497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300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300</v>
      </c>
      <c r="K53" s="161" t="n">
        <v>3</v>
      </c>
      <c r="L53" s="161" t="n">
        <v>1</v>
      </c>
      <c r="M53" s="161" t="n">
        <v>1</v>
      </c>
      <c r="N53" s="161" t="n">
        <v>1</v>
      </c>
      <c r="O53" s="161" t="s">
        <v>354</v>
      </c>
      <c r="P53" s="162" t="n">
        <v>4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269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2</v>
      </c>
      <c r="N54" s="170" t="n">
        <v>1</v>
      </c>
      <c r="O54" s="170" t="s">
        <v>359</v>
      </c>
      <c r="P54" s="171" t="n">
        <v>2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1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269</v>
      </c>
      <c r="BM55" s="141" t="n">
        <v>1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269</v>
      </c>
      <c r="CH55" s="141" t="n">
        <v>6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2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278</v>
      </c>
      <c r="CH56" s="141" t="n">
        <v>4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1</v>
      </c>
      <c r="H57" s="151" t="s">
        <v>283</v>
      </c>
      <c r="I57" s="181"/>
      <c r="J57" s="156" t="s">
        <v>284</v>
      </c>
      <c r="K57" s="157" t="n">
        <v>3</v>
      </c>
      <c r="L57" s="157" t="n">
        <v>1</v>
      </c>
      <c r="M57" s="157" t="n">
        <v>2</v>
      </c>
      <c r="N57" s="157" t="n">
        <v>0</v>
      </c>
      <c r="O57" s="157" t="s">
        <v>455</v>
      </c>
      <c r="P57" s="158" t="n">
        <v>5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3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438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281</v>
      </c>
      <c r="BM58" s="141" t="n">
        <v>2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0</v>
      </c>
      <c r="G59" s="141" t="n">
        <v>1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368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2</v>
      </c>
      <c r="G60" s="141" t="n">
        <v>2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347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281</v>
      </c>
      <c r="BT60" s="141" t="n">
        <v>2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3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288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1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3</v>
      </c>
      <c r="G63" s="141" t="n">
        <v>0</v>
      </c>
      <c r="H63" s="151" t="s">
        <v>287</v>
      </c>
      <c r="I63" s="181"/>
      <c r="J63" s="156" t="s">
        <v>281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455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4</v>
      </c>
      <c r="G64" s="141" t="n">
        <v>0</v>
      </c>
      <c r="H64" s="151" t="s">
        <v>263</v>
      </c>
      <c r="I64" s="181"/>
      <c r="J64" s="160" t="s">
        <v>298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519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281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3</v>
      </c>
      <c r="G65" s="141" t="n">
        <v>1</v>
      </c>
      <c r="H65" s="151" t="s">
        <v>271</v>
      </c>
      <c r="I65" s="181"/>
      <c r="J65" s="160" t="s">
        <v>278</v>
      </c>
      <c r="K65" s="161" t="n">
        <v>3</v>
      </c>
      <c r="L65" s="161" t="n">
        <v>1</v>
      </c>
      <c r="M65" s="161" t="n">
        <v>1</v>
      </c>
      <c r="N65" s="161" t="n">
        <v>1</v>
      </c>
      <c r="O65" s="161" t="s">
        <v>520</v>
      </c>
      <c r="P65" s="162" t="n">
        <v>4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278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1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521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294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2</v>
      </c>
      <c r="G67" s="141" t="n">
        <v>2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278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278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0</v>
      </c>
      <c r="G69" s="141" t="n">
        <v>2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420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0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338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2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1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276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1</v>
      </c>
      <c r="M72" s="170" t="n">
        <v>0</v>
      </c>
      <c r="N72" s="170" t="n">
        <v>2</v>
      </c>
      <c r="O72" s="170" t="s">
        <v>379</v>
      </c>
      <c r="P72" s="171" t="n">
        <v>3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3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365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1</v>
      </c>
      <c r="G76" s="141" t="n">
        <v>0</v>
      </c>
      <c r="H76" s="151" t="s">
        <v>259</v>
      </c>
      <c r="I76" s="181"/>
      <c r="J76" s="160" t="s">
        <v>267</v>
      </c>
      <c r="K76" s="161" t="n">
        <v>3</v>
      </c>
      <c r="L76" s="161" t="n">
        <v>1</v>
      </c>
      <c r="M76" s="161" t="n">
        <v>0</v>
      </c>
      <c r="N76" s="161" t="n">
        <v>2</v>
      </c>
      <c r="O76" s="161" t="s">
        <v>522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1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523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2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1</v>
      </c>
      <c r="M78" s="170" t="n">
        <v>0</v>
      </c>
      <c r="N78" s="170" t="n">
        <v>2</v>
      </c>
      <c r="O78" s="170" t="s">
        <v>523</v>
      </c>
      <c r="P78" s="171" t="n">
        <v>3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511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368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524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354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525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354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526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520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527</v>
      </c>
      <c r="K85" s="195" t="n">
        <v>3</v>
      </c>
      <c r="L85" s="195" t="n">
        <v>1</v>
      </c>
      <c r="M85" s="195" t="n">
        <v>1</v>
      </c>
      <c r="N85" s="195" t="n">
        <v>1</v>
      </c>
      <c r="O85" s="195" t="s">
        <v>343</v>
      </c>
      <c r="P85" s="196" t="n">
        <v>4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477</v>
      </c>
      <c r="K86" s="195" t="n">
        <v>3</v>
      </c>
      <c r="L86" s="195" t="n">
        <v>1</v>
      </c>
      <c r="M86" s="195" t="n">
        <v>1</v>
      </c>
      <c r="N86" s="195" t="n">
        <v>1</v>
      </c>
      <c r="O86" s="195" t="s">
        <v>497</v>
      </c>
      <c r="P86" s="196" t="n">
        <v>4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528</v>
      </c>
      <c r="K87" s="195" t="n">
        <v>3</v>
      </c>
      <c r="L87" s="195" t="n">
        <v>1</v>
      </c>
      <c r="M87" s="195" t="n">
        <v>1</v>
      </c>
      <c r="N87" s="195" t="n">
        <v>1</v>
      </c>
      <c r="O87" s="195" t="s">
        <v>438</v>
      </c>
      <c r="P87" s="196" t="n">
        <v>4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529</v>
      </c>
      <c r="K88" s="195" t="n">
        <v>3</v>
      </c>
      <c r="L88" s="195" t="n">
        <v>1</v>
      </c>
      <c r="M88" s="195" t="n">
        <v>1</v>
      </c>
      <c r="N88" s="195" t="n">
        <v>1</v>
      </c>
      <c r="O88" s="195" t="s">
        <v>448</v>
      </c>
      <c r="P88" s="196" t="n">
        <v>4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490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438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460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523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473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516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470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379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0</v>
      </c>
      <c r="G7" s="141" t="n">
        <v>1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1</v>
      </c>
      <c r="H9" s="151" t="s">
        <v>299</v>
      </c>
      <c r="J9" s="156" t="s">
        <v>279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376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2</v>
      </c>
      <c r="M10" s="161" t="n">
        <v>0</v>
      </c>
      <c r="N10" s="161" t="n">
        <v>1</v>
      </c>
      <c r="O10" s="161" t="s">
        <v>530</v>
      </c>
      <c r="P10" s="162" t="n">
        <v>6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270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411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270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3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531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4</v>
      </c>
      <c r="G13" s="141" t="n">
        <v>2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291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5</v>
      </c>
      <c r="G14" s="141" t="n">
        <v>3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269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299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500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291</v>
      </c>
      <c r="BM15" s="141" t="n">
        <v>4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283</v>
      </c>
      <c r="K16" s="161" t="n">
        <v>3</v>
      </c>
      <c r="L16" s="161" t="n">
        <v>1</v>
      </c>
      <c r="M16" s="161" t="n">
        <v>0</v>
      </c>
      <c r="N16" s="161" t="n">
        <v>2</v>
      </c>
      <c r="O16" s="161" t="s">
        <v>532</v>
      </c>
      <c r="P16" s="162" t="n">
        <v>3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291</v>
      </c>
      <c r="CA16" s="141" t="n">
        <v>3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3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516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290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533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3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283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3</v>
      </c>
      <c r="G21" s="141" t="n">
        <v>0</v>
      </c>
      <c r="H21" s="151" t="s">
        <v>304</v>
      </c>
      <c r="J21" s="156" t="s">
        <v>262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376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290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3</v>
      </c>
      <c r="H22" s="151" t="s">
        <v>282</v>
      </c>
      <c r="J22" s="160" t="s">
        <v>290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438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0</v>
      </c>
      <c r="M23" s="161" t="n">
        <v>2</v>
      </c>
      <c r="N23" s="161" t="n">
        <v>1</v>
      </c>
      <c r="O23" s="161" t="s">
        <v>438</v>
      </c>
      <c r="P23" s="162" t="n">
        <v>2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290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291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2</v>
      </c>
      <c r="N24" s="170" t="n">
        <v>1</v>
      </c>
      <c r="O24" s="170" t="s">
        <v>355</v>
      </c>
      <c r="P24" s="171" t="n">
        <v>2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1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268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1</v>
      </c>
      <c r="H27" s="151" t="s">
        <v>285</v>
      </c>
      <c r="J27" s="156" t="s">
        <v>271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514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3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280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354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5</v>
      </c>
      <c r="H29" s="151" t="s">
        <v>292</v>
      </c>
      <c r="J29" s="160" t="s">
        <v>276</v>
      </c>
      <c r="K29" s="161" t="n">
        <v>3</v>
      </c>
      <c r="L29" s="161" t="n">
        <v>0</v>
      </c>
      <c r="M29" s="161" t="n">
        <v>2</v>
      </c>
      <c r="N29" s="161" t="n">
        <v>1</v>
      </c>
      <c r="O29" s="161" t="s">
        <v>497</v>
      </c>
      <c r="P29" s="162" t="n">
        <v>2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3</v>
      </c>
      <c r="G30" s="141" t="n">
        <v>4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1</v>
      </c>
      <c r="N30" s="170" t="n">
        <v>2</v>
      </c>
      <c r="O30" s="170" t="s">
        <v>379</v>
      </c>
      <c r="P30" s="171" t="n">
        <v>1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3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4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4</v>
      </c>
      <c r="G33" s="141" t="n">
        <v>2</v>
      </c>
      <c r="H33" s="151" t="s">
        <v>294</v>
      </c>
      <c r="J33" s="156" t="s">
        <v>266</v>
      </c>
      <c r="K33" s="157" t="n">
        <v>3</v>
      </c>
      <c r="L33" s="157" t="n">
        <v>3</v>
      </c>
      <c r="M33" s="157" t="n">
        <v>0</v>
      </c>
      <c r="N33" s="157" t="n">
        <v>0</v>
      </c>
      <c r="O33" s="157" t="s">
        <v>499</v>
      </c>
      <c r="P33" s="158" t="n">
        <v>9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294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534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277</v>
      </c>
      <c r="K35" s="161" t="n">
        <v>3</v>
      </c>
      <c r="L35" s="161" t="n">
        <v>0</v>
      </c>
      <c r="M35" s="161" t="n">
        <v>1</v>
      </c>
      <c r="N35" s="161" t="n">
        <v>2</v>
      </c>
      <c r="O35" s="161" t="s">
        <v>535</v>
      </c>
      <c r="P35" s="162" t="n">
        <v>1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2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0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391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294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291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265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536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284</v>
      </c>
      <c r="BM39" s="141" t="n">
        <v>2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537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3</v>
      </c>
      <c r="G41" s="141" t="n">
        <v>1</v>
      </c>
      <c r="H41" s="151" t="s">
        <v>287</v>
      </c>
      <c r="J41" s="160" t="s">
        <v>291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287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538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3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2</v>
      </c>
      <c r="G44" s="141" t="n">
        <v>2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3</v>
      </c>
      <c r="G45" s="141" t="n">
        <v>1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539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4</v>
      </c>
      <c r="G46" s="141" t="n">
        <v>3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389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2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0</v>
      </c>
      <c r="G47" s="141" t="n">
        <v>3</v>
      </c>
      <c r="H47" s="151" t="s">
        <v>269</v>
      </c>
      <c r="J47" s="160" t="s">
        <v>275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389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265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3</v>
      </c>
      <c r="G48" s="141" t="n">
        <v>3</v>
      </c>
      <c r="H48" s="151" t="s">
        <v>295</v>
      </c>
      <c r="J48" s="169" t="s">
        <v>304</v>
      </c>
      <c r="K48" s="170" t="n">
        <v>3</v>
      </c>
      <c r="L48" s="170" t="n">
        <v>1</v>
      </c>
      <c r="M48" s="170" t="n">
        <v>0</v>
      </c>
      <c r="N48" s="170" t="n">
        <v>2</v>
      </c>
      <c r="O48" s="170" t="s">
        <v>517</v>
      </c>
      <c r="P48" s="171" t="n">
        <v>3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263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3</v>
      </c>
      <c r="G49" s="141" t="n">
        <v>4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279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0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258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1</v>
      </c>
      <c r="M52" s="161" t="n">
        <v>2</v>
      </c>
      <c r="N52" s="161" t="n">
        <v>0</v>
      </c>
      <c r="O52" s="161" t="s">
        <v>509</v>
      </c>
      <c r="P52" s="162" t="n">
        <v>5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0</v>
      </c>
      <c r="G53" s="141" t="n">
        <v>0</v>
      </c>
      <c r="H53" s="151" t="s">
        <v>293</v>
      </c>
      <c r="J53" s="160" t="s">
        <v>258</v>
      </c>
      <c r="K53" s="161" t="n">
        <v>3</v>
      </c>
      <c r="L53" s="161" t="n">
        <v>0</v>
      </c>
      <c r="M53" s="161" t="n">
        <v>3</v>
      </c>
      <c r="N53" s="161" t="n">
        <v>0</v>
      </c>
      <c r="O53" s="161" t="s">
        <v>420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293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0</v>
      </c>
      <c r="G54" s="141" t="n">
        <v>1</v>
      </c>
      <c r="H54" s="151" t="s">
        <v>292</v>
      </c>
      <c r="J54" s="169" t="s">
        <v>297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347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293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263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265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3</v>
      </c>
      <c r="G57" s="141" t="n">
        <v>2</v>
      </c>
      <c r="H57" s="151" t="s">
        <v>283</v>
      </c>
      <c r="I57" s="181"/>
      <c r="J57" s="156" t="s">
        <v>269</v>
      </c>
      <c r="K57" s="157" t="n">
        <v>3</v>
      </c>
      <c r="L57" s="157" t="n">
        <v>2</v>
      </c>
      <c r="M57" s="157" t="n">
        <v>1</v>
      </c>
      <c r="N57" s="157" t="n">
        <v>0</v>
      </c>
      <c r="O57" s="157" t="s">
        <v>540</v>
      </c>
      <c r="P57" s="158" t="n">
        <v>7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0</v>
      </c>
      <c r="H58" s="151" t="s">
        <v>294</v>
      </c>
      <c r="I58" s="181"/>
      <c r="J58" s="160" t="s">
        <v>257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359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3</v>
      </c>
      <c r="G59" s="141" t="n">
        <v>4</v>
      </c>
      <c r="H59" s="151" t="s">
        <v>270</v>
      </c>
      <c r="I59" s="181"/>
      <c r="J59" s="160" t="s">
        <v>284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5</v>
      </c>
      <c r="H60" s="151" t="s">
        <v>279</v>
      </c>
      <c r="I60" s="181"/>
      <c r="J60" s="169" t="s">
        <v>295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359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0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0</v>
      </c>
      <c r="G61" s="141" t="n">
        <v>4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0</v>
      </c>
      <c r="G62" s="141" t="n">
        <v>3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280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4</v>
      </c>
      <c r="G63" s="141" t="n">
        <v>2</v>
      </c>
      <c r="H63" s="151" t="s">
        <v>287</v>
      </c>
      <c r="I63" s="181"/>
      <c r="J63" s="156" t="s">
        <v>278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541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2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298</v>
      </c>
      <c r="K64" s="161" t="n">
        <v>3</v>
      </c>
      <c r="L64" s="161" t="n">
        <v>1</v>
      </c>
      <c r="M64" s="161" t="n">
        <v>1</v>
      </c>
      <c r="N64" s="161" t="n">
        <v>1</v>
      </c>
      <c r="O64" s="161" t="s">
        <v>400</v>
      </c>
      <c r="P64" s="162" t="n">
        <v>4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265</v>
      </c>
      <c r="CA64" s="141" t="n">
        <v>3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0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0</v>
      </c>
      <c r="M65" s="161" t="n">
        <v>2</v>
      </c>
      <c r="N65" s="161" t="n">
        <v>1</v>
      </c>
      <c r="O65" s="161" t="s">
        <v>448</v>
      </c>
      <c r="P65" s="162" t="n">
        <v>2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285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517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299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0</v>
      </c>
      <c r="G67" s="141" t="n">
        <v>1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275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1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275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1</v>
      </c>
      <c r="H69" s="151" t="s">
        <v>275</v>
      </c>
      <c r="I69" s="181"/>
      <c r="J69" s="156" t="s">
        <v>292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542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285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1</v>
      </c>
      <c r="G70" s="141" t="n">
        <v>2</v>
      </c>
      <c r="H70" s="151" t="s">
        <v>265</v>
      </c>
      <c r="I70" s="181"/>
      <c r="J70" s="160" t="s">
        <v>268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520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292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1</v>
      </c>
      <c r="M71" s="161" t="n">
        <v>1</v>
      </c>
      <c r="N71" s="161" t="n">
        <v>1</v>
      </c>
      <c r="O71" s="161" t="s">
        <v>520</v>
      </c>
      <c r="P71" s="162" t="n">
        <v>4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285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0</v>
      </c>
      <c r="H72" s="151" t="s">
        <v>258</v>
      </c>
      <c r="I72" s="181"/>
      <c r="J72" s="169" t="s">
        <v>261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517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0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2</v>
      </c>
      <c r="H75" s="151" t="s">
        <v>278</v>
      </c>
      <c r="I75" s="181"/>
      <c r="J75" s="156" t="s">
        <v>260</v>
      </c>
      <c r="K75" s="157" t="n">
        <v>3</v>
      </c>
      <c r="L75" s="157" t="n">
        <v>1</v>
      </c>
      <c r="M75" s="157" t="n">
        <v>2</v>
      </c>
      <c r="N75" s="157" t="n">
        <v>0</v>
      </c>
      <c r="O75" s="157" t="s">
        <v>509</v>
      </c>
      <c r="P75" s="158" t="n">
        <v>5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3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0</v>
      </c>
      <c r="M76" s="161" t="n">
        <v>3</v>
      </c>
      <c r="N76" s="161" t="n">
        <v>0</v>
      </c>
      <c r="O76" s="161" t="s">
        <v>420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3</v>
      </c>
      <c r="G77" s="141" t="n">
        <v>3</v>
      </c>
      <c r="H77" s="151" t="s">
        <v>261</v>
      </c>
      <c r="I77" s="181"/>
      <c r="J77" s="160" t="s">
        <v>285</v>
      </c>
      <c r="K77" s="161" t="n">
        <v>3</v>
      </c>
      <c r="L77" s="161" t="n">
        <v>0</v>
      </c>
      <c r="M77" s="161" t="n">
        <v>3</v>
      </c>
      <c r="N77" s="161" t="n">
        <v>0</v>
      </c>
      <c r="O77" s="161" t="s">
        <v>507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4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2</v>
      </c>
      <c r="N78" s="170" t="n">
        <v>1</v>
      </c>
      <c r="O78" s="170" t="s">
        <v>543</v>
      </c>
      <c r="P78" s="171" t="n">
        <v>2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495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520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544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389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545</v>
      </c>
      <c r="K83" s="195" t="n">
        <v>3</v>
      </c>
      <c r="L83" s="195" t="n">
        <v>0</v>
      </c>
      <c r="M83" s="195" t="n">
        <v>3</v>
      </c>
      <c r="N83" s="195" t="n">
        <v>0</v>
      </c>
      <c r="O83" s="195" t="s">
        <v>420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494</v>
      </c>
      <c r="K84" s="195" t="n">
        <v>3</v>
      </c>
      <c r="L84" s="195" t="n">
        <v>0</v>
      </c>
      <c r="M84" s="195" t="n">
        <v>3</v>
      </c>
      <c r="N84" s="195" t="n">
        <v>0</v>
      </c>
      <c r="O84" s="195" t="s">
        <v>507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462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516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546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411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547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485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524</v>
      </c>
      <c r="K89" s="198" t="n">
        <v>3</v>
      </c>
      <c r="L89" s="198" t="n">
        <v>0</v>
      </c>
      <c r="M89" s="198" t="n">
        <v>2</v>
      </c>
      <c r="N89" s="198" t="n">
        <v>1</v>
      </c>
      <c r="O89" s="198" t="s">
        <v>497</v>
      </c>
      <c r="P89" s="199" t="n">
        <v>2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528</v>
      </c>
      <c r="K90" s="198" t="n">
        <v>3</v>
      </c>
      <c r="L90" s="198" t="n">
        <v>0</v>
      </c>
      <c r="M90" s="198" t="n">
        <v>2</v>
      </c>
      <c r="N90" s="198" t="n">
        <v>1</v>
      </c>
      <c r="O90" s="198" t="s">
        <v>438</v>
      </c>
      <c r="P90" s="199" t="n">
        <v>2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474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448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548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535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Q31" colorId="64" zoomScale="100" zoomScaleNormal="100" zoomScalePageLayoutView="100" workbookViewId="0">
      <selection pane="topLeft" activeCell="CM47" activeCellId="0" sqref="CM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2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2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289</v>
      </c>
      <c r="K9" s="157" t="n">
        <v>3</v>
      </c>
      <c r="L9" s="157" t="n">
        <v>1</v>
      </c>
      <c r="M9" s="157" t="n">
        <v>1</v>
      </c>
      <c r="N9" s="157" t="n">
        <v>1</v>
      </c>
      <c r="O9" s="157" t="s">
        <v>354</v>
      </c>
      <c r="P9" s="158" t="n">
        <v>4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3</v>
      </c>
      <c r="H10" s="151" t="s">
        <v>288</v>
      </c>
      <c r="J10" s="160" t="s">
        <v>270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302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438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263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1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3</v>
      </c>
      <c r="N12" s="170" t="n">
        <v>0</v>
      </c>
      <c r="O12" s="170" t="s">
        <v>532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1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265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2</v>
      </c>
      <c r="G14" s="141" t="n">
        <v>0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0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0</v>
      </c>
      <c r="H15" s="151" t="s">
        <v>277</v>
      </c>
      <c r="J15" s="156" t="s">
        <v>283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376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265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0</v>
      </c>
      <c r="G16" s="141" t="n">
        <v>0</v>
      </c>
      <c r="H16" s="151" t="s">
        <v>302</v>
      </c>
      <c r="J16" s="160" t="s">
        <v>294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351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265</v>
      </c>
      <c r="CA16" s="141" t="n">
        <v>5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1</v>
      </c>
      <c r="H17" s="151" t="s">
        <v>273</v>
      </c>
      <c r="J17" s="160" t="s">
        <v>299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303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0</v>
      </c>
      <c r="M18" s="170" t="n">
        <v>0</v>
      </c>
      <c r="N18" s="170" t="n">
        <v>3</v>
      </c>
      <c r="O18" s="170" t="s">
        <v>505</v>
      </c>
      <c r="P18" s="171" t="n">
        <v>0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270</v>
      </c>
      <c r="BM18" s="141" t="n">
        <v>2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294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270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1</v>
      </c>
      <c r="G21" s="141" t="n">
        <v>3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351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303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4</v>
      </c>
      <c r="H22" s="151" t="s">
        <v>282</v>
      </c>
      <c r="J22" s="160" t="s">
        <v>303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504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1</v>
      </c>
      <c r="G23" s="141" t="n">
        <v>1</v>
      </c>
      <c r="H23" s="151" t="s">
        <v>269</v>
      </c>
      <c r="J23" s="160" t="s">
        <v>262</v>
      </c>
      <c r="K23" s="161" t="n">
        <v>3</v>
      </c>
      <c r="L23" s="161" t="n">
        <v>1</v>
      </c>
      <c r="M23" s="161" t="n">
        <v>0</v>
      </c>
      <c r="N23" s="161" t="n">
        <v>2</v>
      </c>
      <c r="O23" s="161" t="s">
        <v>518</v>
      </c>
      <c r="P23" s="162" t="n">
        <v>3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303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265</v>
      </c>
      <c r="CH23" s="141" t="n">
        <v>0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2</v>
      </c>
      <c r="G24" s="141" t="n">
        <v>1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448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299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2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1</v>
      </c>
      <c r="M27" s="157" t="n">
        <v>2</v>
      </c>
      <c r="N27" s="157" t="n">
        <v>0</v>
      </c>
      <c r="O27" s="157" t="s">
        <v>338</v>
      </c>
      <c r="P27" s="158" t="n">
        <v>5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260</v>
      </c>
      <c r="BM27" s="141" t="n">
        <v>2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276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504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260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4</v>
      </c>
      <c r="G29" s="141" t="n">
        <v>1</v>
      </c>
      <c r="H29" s="151" t="s">
        <v>292</v>
      </c>
      <c r="J29" s="160" t="s">
        <v>288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535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281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5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2</v>
      </c>
      <c r="N30" s="170" t="n">
        <v>1</v>
      </c>
      <c r="O30" s="170" t="s">
        <v>497</v>
      </c>
      <c r="P30" s="171" t="n">
        <v>2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0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281</v>
      </c>
      <c r="BM31" s="141" t="n">
        <v>3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281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302</v>
      </c>
      <c r="K33" s="157" t="n">
        <v>3</v>
      </c>
      <c r="L33" s="157" t="n">
        <v>1</v>
      </c>
      <c r="M33" s="157" t="n">
        <v>2</v>
      </c>
      <c r="N33" s="157" t="n">
        <v>0</v>
      </c>
      <c r="O33" s="157" t="s">
        <v>504</v>
      </c>
      <c r="P33" s="158" t="n">
        <v>5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299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3</v>
      </c>
      <c r="G34" s="141" t="n">
        <v>3</v>
      </c>
      <c r="H34" s="151" t="s">
        <v>279</v>
      </c>
      <c r="J34" s="160" t="s">
        <v>277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497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2</v>
      </c>
      <c r="H35" s="151" t="s">
        <v>303</v>
      </c>
      <c r="J35" s="160" t="s">
        <v>266</v>
      </c>
      <c r="K35" s="161" t="n">
        <v>3</v>
      </c>
      <c r="L35" s="161" t="n">
        <v>1</v>
      </c>
      <c r="M35" s="161" t="n">
        <v>1</v>
      </c>
      <c r="N35" s="161" t="n">
        <v>1</v>
      </c>
      <c r="O35" s="161" t="s">
        <v>400</v>
      </c>
      <c r="P35" s="162" t="n">
        <v>4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299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286</v>
      </c>
      <c r="K36" s="170" t="n">
        <v>3</v>
      </c>
      <c r="L36" s="170" t="n">
        <v>1</v>
      </c>
      <c r="M36" s="170" t="n">
        <v>0</v>
      </c>
      <c r="N36" s="170" t="n">
        <v>2</v>
      </c>
      <c r="O36" s="170" t="s">
        <v>359</v>
      </c>
      <c r="P36" s="171" t="n">
        <v>3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299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0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304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299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304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293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3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2</v>
      </c>
      <c r="M39" s="157" t="n">
        <v>1</v>
      </c>
      <c r="N39" s="157" t="n">
        <v>0</v>
      </c>
      <c r="O39" s="157" t="s">
        <v>351</v>
      </c>
      <c r="P39" s="158" t="n">
        <v>7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287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343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2</v>
      </c>
      <c r="H41" s="151" t="s">
        <v>287</v>
      </c>
      <c r="J41" s="160" t="s">
        <v>263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1</v>
      </c>
      <c r="G42" s="141" t="n">
        <v>3</v>
      </c>
      <c r="H42" s="151" t="s">
        <v>273</v>
      </c>
      <c r="J42" s="169" t="s">
        <v>291</v>
      </c>
      <c r="K42" s="170" t="n">
        <v>3</v>
      </c>
      <c r="L42" s="170" t="n">
        <v>1</v>
      </c>
      <c r="M42" s="170" t="n">
        <v>0</v>
      </c>
      <c r="N42" s="170" t="n">
        <v>2</v>
      </c>
      <c r="O42" s="170" t="s">
        <v>355</v>
      </c>
      <c r="P42" s="171" t="n">
        <v>3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287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4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0</v>
      </c>
      <c r="G45" s="141" t="n">
        <v>0</v>
      </c>
      <c r="H45" s="151" t="s">
        <v>275</v>
      </c>
      <c r="J45" s="156" t="s">
        <v>304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368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277</v>
      </c>
      <c r="BT45" s="141" t="n">
        <v>2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2</v>
      </c>
      <c r="G46" s="141" t="n">
        <v>1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447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277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3</v>
      </c>
      <c r="G47" s="141" t="n">
        <v>0</v>
      </c>
      <c r="H47" s="151" t="s">
        <v>269</v>
      </c>
      <c r="J47" s="160" t="s">
        <v>265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518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269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293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277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0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301</v>
      </c>
      <c r="CA49" s="141" t="n">
        <v>3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1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3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499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2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1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400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289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1</v>
      </c>
      <c r="G53" s="141" t="n">
        <v>3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506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301</v>
      </c>
      <c r="BT53" s="141" t="n">
        <v>4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1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549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301</v>
      </c>
      <c r="BM54" s="141" t="n">
        <v>3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2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295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301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0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293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2</v>
      </c>
      <c r="H57" s="151" t="s">
        <v>283</v>
      </c>
      <c r="I57" s="181"/>
      <c r="J57" s="156" t="s">
        <v>284</v>
      </c>
      <c r="K57" s="157" t="n">
        <v>3</v>
      </c>
      <c r="L57" s="157" t="n">
        <v>2</v>
      </c>
      <c r="M57" s="157" t="n">
        <v>0</v>
      </c>
      <c r="N57" s="157" t="n">
        <v>1</v>
      </c>
      <c r="O57" s="157" t="s">
        <v>351</v>
      </c>
      <c r="P57" s="158" t="n">
        <v>6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2</v>
      </c>
      <c r="H58" s="151" t="s">
        <v>294</v>
      </c>
      <c r="I58" s="181"/>
      <c r="J58" s="160" t="s">
        <v>269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355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2</v>
      </c>
      <c r="G59" s="141" t="n">
        <v>0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501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438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4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1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1</v>
      </c>
      <c r="H63" s="151" t="s">
        <v>287</v>
      </c>
      <c r="I63" s="181"/>
      <c r="J63" s="156" t="s">
        <v>278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540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2</v>
      </c>
      <c r="H64" s="151" t="s">
        <v>263</v>
      </c>
      <c r="I64" s="181"/>
      <c r="J64" s="160" t="s">
        <v>281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411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1</v>
      </c>
      <c r="H65" s="151" t="s">
        <v>271</v>
      </c>
      <c r="I65" s="181"/>
      <c r="J65" s="160" t="s">
        <v>298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355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293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3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424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298</v>
      </c>
      <c r="BM67" s="141" t="n">
        <v>0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2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283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3</v>
      </c>
      <c r="G69" s="141" t="n">
        <v>1</v>
      </c>
      <c r="H69" s="151" t="s">
        <v>275</v>
      </c>
      <c r="I69" s="181"/>
      <c r="J69" s="156" t="s">
        <v>293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550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293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455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293</v>
      </c>
      <c r="BM70" s="141" t="n">
        <v>3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517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266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1</v>
      </c>
      <c r="H72" s="151" t="s">
        <v>258</v>
      </c>
      <c r="I72" s="181"/>
      <c r="J72" s="169" t="s">
        <v>268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391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3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4</v>
      </c>
      <c r="H75" s="151" t="s">
        <v>278</v>
      </c>
      <c r="I75" s="181"/>
      <c r="J75" s="156" t="s">
        <v>301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500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2</v>
      </c>
      <c r="G76" s="141" t="n">
        <v>0</v>
      </c>
      <c r="H76" s="151" t="s">
        <v>259</v>
      </c>
      <c r="I76" s="181"/>
      <c r="J76" s="160" t="s">
        <v>260</v>
      </c>
      <c r="K76" s="161" t="n">
        <v>3</v>
      </c>
      <c r="L76" s="161" t="n">
        <v>2</v>
      </c>
      <c r="M76" s="161" t="n">
        <v>1</v>
      </c>
      <c r="N76" s="161" t="n">
        <v>0</v>
      </c>
      <c r="O76" s="161" t="s">
        <v>504</v>
      </c>
      <c r="P76" s="162" t="n">
        <v>7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0</v>
      </c>
      <c r="G77" s="141" t="n">
        <v>1</v>
      </c>
      <c r="H77" s="151" t="s">
        <v>261</v>
      </c>
      <c r="I77" s="181"/>
      <c r="J77" s="160" t="s">
        <v>285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379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3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551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400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488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438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552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518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478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506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553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554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555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355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494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556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518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557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535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490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517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en-IL</dc:language>
  <cp:lastModifiedBy>Michael Koish</cp:lastModifiedBy>
  <dcterms:modified xsi:type="dcterms:W3CDTF">2026-06-09T15:19:44Z</dcterms:modified>
  <cp:revision>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