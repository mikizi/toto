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<sst xmlns="http://schemas.openxmlformats.org/spreadsheetml/2006/main" count="5548" uniqueCount="558">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</sst>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2</v>
      </c>
      <c r="M4" s="13" t="n">
        <v>1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1</v>
      </c>
      <c r="M5" s="13" t="n">
        <v>0</v>
      </c>
      <c r="N5" s="14" t="str">
        <f aca="false">IF(OR(M5="",L5=""),"",IF(L5&gt;M5,"I",IF(L5=M5,"X","II")))</f>
        <v>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2</v>
      </c>
      <c r="M6" s="13" t="n">
        <v>1</v>
      </c>
      <c r="N6" s="14" t="str">
        <f aca="false">IF(OR(M6="",L6=""),"",IF(L6&gt;M6,"I",IF(L6=M6,"X","II")))</f>
        <v>I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 t="n">
        <v>0</v>
      </c>
      <c r="M7" s="13" t="n">
        <v>0</v>
      </c>
      <c r="N7" s="14" t="str">
        <f aca="false">IF(OR(M7="",L7=""),"",IF(L7&gt;M7,"I",IF(L7=M7,"X","II")))</f>
        <v>X</v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 t="n">
        <v>0</v>
      </c>
      <c r="M8" s="13" t="n">
        <v>0</v>
      </c>
      <c r="N8" s="14" t="str">
        <f aca="false">IF(OR(M8="",L8=""),"",IF(L8&gt;M8,"I",IF(L8=M8,"X","II")))</f>
        <v>X</v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11.0000000103</v>
      </c>
      <c r="L8" s="48" t="s">
        <v>229</v>
      </c>
      <c r="M8" s="9"/>
      <c r="N8" s="9"/>
      <c r="O8" s="49" t="n">
        <f aca="false">SUM(O9:O15)</f>
        <v>8.0000000102</v>
      </c>
      <c r="Q8" s="48" t="s">
        <v>229</v>
      </c>
      <c r="R8" s="9"/>
      <c r="S8" s="9"/>
      <c r="T8" s="49" t="n">
        <f aca="false">SUM(T9:T15)</f>
        <v>8.0000000102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8.0000000102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11.0000000103</v>
      </c>
      <c r="L9" s="50" t="s">
        <v>230</v>
      </c>
      <c r="M9" s="9"/>
      <c r="N9" s="9"/>
      <c r="O9" s="51" t="n">
        <f aca="false">O93</f>
        <v>8.0000000102</v>
      </c>
      <c r="Q9" s="50" t="s">
        <v>230</v>
      </c>
      <c r="R9" s="9"/>
      <c r="S9" s="9"/>
      <c r="T9" s="51" t="n">
        <f aca="false">T93</f>
        <v>8.0000000102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8.0000000102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2</v>
      </c>
      <c r="D21" s="52" t="n">
        <f aca="false">IF(Summary!M4="","",Summary!M4)</f>
        <v>1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1</v>
      </c>
      <c r="D22" s="52" t="n">
        <f aca="false">IF(Summary!M5="","",Summary!M5)</f>
        <v>0</v>
      </c>
      <c r="E22" s="14" t="str">
        <f aca="false">IF(OR(D22="",C22=""),"",IF(C22&gt;D22,"I",IF(C22=D22,"X","II")))</f>
        <v>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3.0000000001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2</v>
      </c>
      <c r="D23" s="52" t="n">
        <f aca="false">IF(Summary!M6="","",Summary!M6)</f>
        <v>1</v>
      </c>
      <c r="E23" s="14" t="str">
        <f aca="false">IF(OR(D23="",C23=""),"",IF(C23&gt;D23,"I",IF(C23=D23,"X","II")))</f>
        <v>I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5.0000000101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5.0000000101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5.0000000101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0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0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5.0000000101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n">
        <f aca="false">IF(Summary!L7="","",Summary!L7)</f>
        <v>0</v>
      </c>
      <c r="D24" s="52" t="n">
        <f aca="false">IF(Summary!M7="","",Summary!M7)</f>
        <v>0</v>
      </c>
      <c r="E24" s="14" t="str">
        <f aca="false">IF(OR(D24="",C24=""),"",IF(C24&gt;D24,"I",IF(C24=D24,"X","II")))</f>
        <v>X</v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n">
        <f aca="false">IF($E24="","",IF(I24=$E24,$E$175,0)+IF(AND($C24=G24,$D24=H24),$E$176,0))</f>
        <v>0</v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n">
        <f aca="false">IF($E24="","",IF(N24=$E24,$E$175,0)+IF(AND($C24=L24,$D24=M24),$E$176,0))</f>
        <v>0</v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n">
        <f aca="false">IF($E24="","",IF(S24=$E24,$E$175,0)+IF(AND($C24=Q24,$D24=R24),$E$176,0))</f>
        <v>0</v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n">
        <f aca="false">IF($E24="","",IF(X24=$E24,$E$175,0)+IF(AND($C24=V24,$D24=W24),$E$176,0))</f>
        <v>0</v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n">
        <f aca="false">IF($E24="","",IF(AC24=$E24,$E$175,0)+IF(AND($C24=AA24,$D24=AB24),$E$176,0))</f>
        <v>0</v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n">
        <f aca="false">IF($E24="","",IF(AH24=$E24,$E$175,0)+IF(AND($C24=AF24,$D24=AG24),$E$176,0))</f>
        <v>0</v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n">
        <f aca="false">IF(Summary!L8="","",Summary!L8)</f>
        <v>0</v>
      </c>
      <c r="D25" s="52" t="n">
        <f aca="false">IF(Summary!M8="","",Summary!M8)</f>
        <v>0</v>
      </c>
      <c r="E25" s="14" t="str">
        <f aca="false">IF(OR(D25="",C25=""),"",IF(C25&gt;D25,"I",IF(C25=D25,"X","II")))</f>
        <v>X</v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n">
        <f aca="false">IF($E25="","",IF(I25=$E25,$E$175,0)+IF(AND($C25=G25,$D25=H25),$E$176,0))</f>
        <v>0</v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n">
        <f aca="false">IF($E25="","",IF(N25=$E25,$E$175,0)+IF(AND($C25=L25,$D25=M25),$E$176,0))</f>
        <v>0</v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n">
        <f aca="false">IF($E25="","",IF(S25=$E25,$E$175,0)+IF(AND($C25=Q25,$D25=R25),$E$176,0))</f>
        <v>0</v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n">
        <f aca="false">IF($E25="","",IF(X25=$E25,$E$175,0)+IF(AND($C25=V25,$D25=W25),$E$176,0))</f>
        <v>0</v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n">
        <f aca="false">IF($E25="","",IF(AC25=$E25,$E$175,0)+IF(AND($C25=AA25,$D25=AB25),$E$176,0))</f>
        <v>0</v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n">
        <f aca="false">IF($E25="","",IF(AH25=$E25,$E$175,0)+IF(AND($C25=AF25,$D25=AG25),$E$176,0))</f>
        <v>0</v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11.0000000103</v>
      </c>
      <c r="L93" s="9" t="s">
        <v>231</v>
      </c>
      <c r="M93" s="9"/>
      <c r="N93" s="9"/>
      <c r="O93" s="54" t="n">
        <f aca="false">SUM(O21:O92)</f>
        <v>8.0000000102</v>
      </c>
      <c r="Q93" s="9" t="s">
        <v>231</v>
      </c>
      <c r="R93" s="9"/>
      <c r="S93" s="9"/>
      <c r="T93" s="54" t="n">
        <f aca="false">SUM(T21:T92)</f>
        <v>8.0000000102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8.0000000102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1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2026-05-27T18:47:11Z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