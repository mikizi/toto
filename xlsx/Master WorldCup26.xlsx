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<sst xmlns="http://schemas.openxmlformats.org/spreadsheetml/2006/main" count="5548" uniqueCount="558">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</sst>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3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1</v>
      </c>
      <c r="N5" s="14" t="str">
        <f aca="false">IF(OR(M5="",L5=""),"",IF(L5&gt;M5,"I",IF(L5=M5,"X","II")))</f>
        <v>II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5.0000000101</v>
      </c>
      <c r="AA8" s="48" t="s">
        <v>229</v>
      </c>
      <c r="AB8" s="9"/>
      <c r="AC8" s="9"/>
      <c r="AD8" s="49" t="n">
        <f aca="false">SUM(AD9:AD15)</f>
        <v>5.0000000101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5.0000000101</v>
      </c>
      <c r="AA9" s="50" t="s">
        <v>230</v>
      </c>
      <c r="AB9" s="9"/>
      <c r="AC9" s="9"/>
      <c r="AD9" s="51" t="n">
        <f aca="false">AD93</f>
        <v>5.0000000101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3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1</v>
      </c>
      <c r="E22" s="14" t="str">
        <f aca="false">IF(OR(D22="",C22=""),"",IF(C22&gt;D22,"I",IF(C22=D22,"X","II")))</f>
        <v>II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5.0000000101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5.0000000101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5.0000000101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5.0000000101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5.0000000101</v>
      </c>
      <c r="AA93" s="9" t="s">
        <v>231</v>
      </c>
      <c r="AB93" s="9"/>
      <c r="AC93" s="9"/>
      <c r="AD93" s="54" t="n">
        <f aca="false">SUM(AD21:AD92)</f>
        <v>5.0000000101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1</v>
      </c>
      <c r="AA94" s="9" t="s">
        <v>232</v>
      </c>
      <c r="AB94" s="9"/>
      <c r="AC94" s="9"/>
      <c r="AD94" s="54" t="n">
        <f aca="false">COUNTIF(AD21:AD92,$E$175+$E$176)</f>
        <v>1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2026-05-27T20:50:36Z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