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<sst xmlns="http://schemas.openxmlformats.org/spreadsheetml/2006/main" count="5548" uniqueCount="558">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</sst>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0</v>
      </c>
      <c r="M4" s="13" t="n">
        <v>1</v>
      </c>
      <c r="N4" s="14" t="str">
        <f aca="false">IF(OR(M4="",L4=""),"",IF(L4&gt;M4,"I",IF(L4=M4,"X","II")))</f>
        <v>II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3.0000000001</v>
      </c>
      <c r="AA8" s="48" t="s">
        <v>229</v>
      </c>
      <c r="AB8" s="9"/>
      <c r="AC8" s="9"/>
      <c r="AD8" s="49" t="n">
        <f aca="false">SUM(AD9:AD15)</f>
        <v>5.0000000101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3.0000000001</v>
      </c>
      <c r="AA9" s="50" t="s">
        <v>230</v>
      </c>
      <c r="AB9" s="9"/>
      <c r="AC9" s="9"/>
      <c r="AD9" s="51" t="n">
        <f aca="false">AD93</f>
        <v>5.0000000101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0</v>
      </c>
      <c r="D21" s="52" t="n">
        <f aca="false">IF(Summary!M4="","",Summary!M4)</f>
        <v>1</v>
      </c>
      <c r="E21" s="14" t="str">
        <f aca="false">IF(OR(D21="",C21=""),"",IF(C21&gt;D21,"I",IF(C21=D21,"X","II")))</f>
        <v>II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3.0000000001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5.0000000101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3.0000000001</v>
      </c>
      <c r="AA93" s="9" t="s">
        <v>231</v>
      </c>
      <c r="AB93" s="9"/>
      <c r="AC93" s="9"/>
      <c r="AD93" s="54" t="n">
        <f aca="false">SUM(AD21:AD92)</f>
        <v>5.0000000101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1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2026-05-25T22:19:46Z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