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<sst xmlns="http://schemas.openxmlformats.org/spreadsheetml/2006/main" count="5548" uniqueCount="558">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</sst>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[$₪-40D]\ #,##0"/>
    <numFmt numFmtId="167" formatCode="[$₪-40D]\ #,##0.00"/>
    <numFmt numFmtId="168" formatCode="0.0"/>
    <numFmt numFmtId="169" formatCode="0%"/>
    <numFmt numFmtId="170" formatCode="h:mm;@"/>
    <numFmt numFmtId="171" formatCode=";;;"/>
    <numFmt numFmtId="172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1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1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1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str">
        <f aca="false">VLOOKUP(A4,$J$79:$K$148,2,0)</f>
        <v>test53</v>
      </c>
      <c r="E4" s="9" t="str">
        <f aca="false">VLOOKUP($D4,$D$79:$F$148,2,0)</f>
        <v/>
      </c>
      <c r="F4" s="10" t="n">
        <f aca="false">VLOOKUP($D4,$D$79:$F$148,3,0)</f>
        <v>239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str">
        <f aca="false">IF(F5=F4,"-",COUNTA($D$4:D5))</f>
        <v>-</v>
      </c>
      <c r="D5" s="17" t="str">
        <f aca="false">VLOOKUP(A5,$J$79:$K$148,2,0)</f>
        <v>test54</v>
      </c>
      <c r="E5" s="17" t="str">
        <f aca="false">VLOOKUP($D5,$D$79:$F$148,2,0)</f>
        <v/>
      </c>
      <c r="F5" s="18" t="n">
        <f aca="false">VLOOKUP($D5,$D$79:$F$148,3,0)</f>
        <v>239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n">
        <f aca="false">IF(F6=F5,"-",COUNTA($D$4:D6))</f>
        <v>3</v>
      </c>
      <c r="D6" s="21" t="str">
        <f aca="false">VLOOKUP(A6,$J$79:$K$148,2,0)</f>
        <v>test40</v>
      </c>
      <c r="E6" s="21" t="str">
        <f aca="false">VLOOKUP($D6,$D$79:$F$148,2,0)</f>
        <v/>
      </c>
      <c r="F6" s="22" t="n">
        <f aca="false">VLOOKUP($D6,$D$79:$F$148,3,0)</f>
        <v>237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str">
        <f aca="false">IF(F7=F6,"-",COUNTA($D$4:D7))</f>
        <v>-</v>
      </c>
      <c r="D7" s="25" t="str">
        <f aca="false">VLOOKUP(A7,$J$79:$K$148,2,0)</f>
        <v>test52</v>
      </c>
      <c r="E7" s="25" t="str">
        <f aca="false">VLOOKUP($D7,$D$79:$F$148,2,0)</f>
        <v/>
      </c>
      <c r="F7" s="26" t="n">
        <f aca="false">VLOOKUP($D7,$D$79:$F$148,3,0)</f>
        <v>237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n">
        <f aca="false">IF(F8=F7,"-",COUNTA($D$4:D8))</f>
        <v>5</v>
      </c>
      <c r="D8" s="29" t="str">
        <f aca="false">VLOOKUP(A8,$J$79:$K$148,2,0)</f>
        <v>test41</v>
      </c>
      <c r="E8" s="29" t="str">
        <f aca="false">VLOOKUP($D8,$D$79:$F$148,2,0)</f>
        <v/>
      </c>
      <c r="F8" s="30" t="n">
        <f aca="false">VLOOKUP($D8,$D$79:$F$148,3,0)</f>
        <v>236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str">
        <f aca="false">IF(F9=F8,"-",COUNTA($D$4:D9))</f>
        <v>-</v>
      </c>
      <c r="D9" s="6" t="str">
        <f aca="false">VLOOKUP(A9,$J$79:$K$148,2,0)</f>
        <v>test42</v>
      </c>
      <c r="E9" s="6" t="str">
        <f aca="false">VLOOKUP($D9,$D$79:$F$148,2,0)</f>
        <v/>
      </c>
      <c r="F9" s="33" t="n">
        <f aca="false">VLOOKUP($D9,$D$79:$F$148,3,0)</f>
        <v>236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n">
        <f aca="false">IF(F10=F9,"-",COUNTA($D$4:D10))</f>
        <v>7</v>
      </c>
      <c r="D10" s="6" t="str">
        <f aca="false">VLOOKUP(A10,$J$79:$K$148,2,0)</f>
        <v>test64</v>
      </c>
      <c r="E10" s="6" t="str">
        <f aca="false">VLOOKUP($D10,$D$79:$F$148,2,0)</f>
        <v>Senegal</v>
      </c>
      <c r="F10" s="33" t="n">
        <f aca="false">VLOOKUP($D10,$D$79:$F$148,3,0)</f>
        <v>233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n">
        <f aca="false">IF(F11=F10,"-",COUNTA($D$4:D11))</f>
        <v>8</v>
      </c>
      <c r="D11" s="6" t="str">
        <f aca="false">VLOOKUP(A11,$J$79:$K$148,2,0)</f>
        <v>test25</v>
      </c>
      <c r="E11" s="6" t="str">
        <f aca="false">VLOOKUP($D11,$D$79:$F$148,2,0)</f>
        <v/>
      </c>
      <c r="F11" s="33" t="n">
        <f aca="false">VLOOKUP($D11,$D$79:$F$148,3,0)</f>
        <v>232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n">
        <f aca="false">IF(F12=F11,"-",COUNTA($D$4:D12))</f>
        <v>9</v>
      </c>
      <c r="D12" s="6" t="str">
        <f aca="false">VLOOKUP(A12,$J$79:$K$148,2,0)</f>
        <v>test13</v>
      </c>
      <c r="E12" s="6" t="str">
        <f aca="false">VLOOKUP($D12,$D$79:$F$148,2,0)</f>
        <v/>
      </c>
      <c r="F12" s="33" t="n">
        <f aca="false">VLOOKUP($D12,$D$79:$F$148,3,0)</f>
        <v>231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n">
        <f aca="false">IF(F13=F12,"-",COUNTA($D$4:D13))</f>
        <v>10</v>
      </c>
      <c r="D13" s="6" t="str">
        <f aca="false">VLOOKUP(A13,$J$79:$K$148,2,0)</f>
        <v>test1</v>
      </c>
      <c r="E13" s="6" t="str">
        <f aca="false">VLOOKUP($D13,$D$79:$F$148,2,0)</f>
        <v/>
      </c>
      <c r="F13" s="33" t="n">
        <f aca="false">VLOOKUP($D13,$D$79:$F$148,3,0)</f>
        <v>230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str">
        <f aca="false">IF(F14=F13,"-",COUNTA($D$4:D14))</f>
        <v>-</v>
      </c>
      <c r="D14" s="6" t="str">
        <f aca="false">VLOOKUP(A14,$J$79:$K$148,2,0)</f>
        <v>test2</v>
      </c>
      <c r="E14" s="6" t="str">
        <f aca="false">VLOOKUP($D14,$D$79:$F$148,2,0)</f>
        <v/>
      </c>
      <c r="F14" s="33" t="n">
        <f aca="false">VLOOKUP($D14,$D$79:$F$148,3,0)</f>
        <v>230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str">
        <f aca="false">IF(F15=F14,"-",COUNTA($D$4:D15))</f>
        <v>-</v>
      </c>
      <c r="D15" s="6" t="str">
        <f aca="false">VLOOKUP(A15,$J$79:$K$148,2,0)</f>
        <v>test3</v>
      </c>
      <c r="E15" s="6" t="str">
        <f aca="false">VLOOKUP($D15,$D$79:$F$148,2,0)</f>
        <v/>
      </c>
      <c r="F15" s="33" t="n">
        <f aca="false">VLOOKUP($D15,$D$79:$F$148,3,0)</f>
        <v>230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str">
        <f aca="false">IF(F16=F15,"-",COUNTA($D$4:D16))</f>
        <v>-</v>
      </c>
      <c r="D16" s="6" t="str">
        <f aca="false">VLOOKUP(A16,$J$79:$K$148,2,0)</f>
        <v>test4</v>
      </c>
      <c r="E16" s="6" t="str">
        <f aca="false">VLOOKUP($D16,$D$79:$F$148,2,0)</f>
        <v/>
      </c>
      <c r="F16" s="33" t="n">
        <f aca="false">VLOOKUP($D16,$D$79:$F$148,3,0)</f>
        <v>230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str">
        <f aca="false">IF(F17=F16,"-",COUNTA($D$4:D17))</f>
        <v>-</v>
      </c>
      <c r="D17" s="6" t="str">
        <f aca="false">VLOOKUP(A17,$J$79:$K$148,2,0)</f>
        <v>test5</v>
      </c>
      <c r="E17" s="6" t="str">
        <f aca="false">VLOOKUP($D17,$D$79:$F$148,2,0)</f>
        <v/>
      </c>
      <c r="F17" s="33" t="n">
        <f aca="false">VLOOKUP($D17,$D$79:$F$148,3,0)</f>
        <v>230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str">
        <f aca="false">IF(F18=F17,"-",COUNTA($D$4:D18))</f>
        <v>-</v>
      </c>
      <c r="D18" s="6" t="str">
        <f aca="false">VLOOKUP(A18,$J$79:$K$148,2,0)</f>
        <v>test6</v>
      </c>
      <c r="E18" s="6" t="str">
        <f aca="false">VLOOKUP($D18,$D$79:$F$148,2,0)</f>
        <v/>
      </c>
      <c r="F18" s="33" t="n">
        <f aca="false">VLOOKUP($D18,$D$79:$F$148,3,0)</f>
        <v>230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str">
        <f aca="false">IF(F19=F18,"-",COUNTA($D$4:D19))</f>
        <v>-</v>
      </c>
      <c r="D19" s="6" t="str">
        <f aca="false">VLOOKUP(A19,$J$79:$K$148,2,0)</f>
        <v>test14</v>
      </c>
      <c r="E19" s="6" t="str">
        <f aca="false">VLOOKUP($D19,$D$79:$F$148,2,0)</f>
        <v/>
      </c>
      <c r="F19" s="33" t="n">
        <f aca="false">VLOOKUP($D19,$D$79:$F$148,3,0)</f>
        <v>230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str">
        <f aca="false">IF(F20=F19,"-",COUNTA($D$4:D20))</f>
        <v>-</v>
      </c>
      <c r="D20" s="6" t="str">
        <f aca="false">VLOOKUP(A20,$J$79:$K$148,2,0)</f>
        <v>test15</v>
      </c>
      <c r="E20" s="6" t="str">
        <f aca="false">VLOOKUP($D20,$D$79:$F$148,2,0)</f>
        <v/>
      </c>
      <c r="F20" s="33" t="n">
        <f aca="false">VLOOKUP($D20,$D$79:$F$148,3,0)</f>
        <v>230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str">
        <f aca="false">IF(F21=F20,"-",COUNTA($D$4:D21))</f>
        <v>-</v>
      </c>
      <c r="D21" s="6" t="str">
        <f aca="false">VLOOKUP(A21,$J$79:$K$148,2,0)</f>
        <v>test16</v>
      </c>
      <c r="E21" s="6" t="str">
        <f aca="false">VLOOKUP($D21,$D$79:$F$148,2,0)</f>
        <v/>
      </c>
      <c r="F21" s="33" t="n">
        <f aca="false">VLOOKUP($D21,$D$79:$F$148,3,0)</f>
        <v>230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str">
        <f aca="false">IF(F22=F21,"-",COUNTA($D$4:D22))</f>
        <v>-</v>
      </c>
      <c r="D22" s="6" t="str">
        <f aca="false">VLOOKUP(A22,$J$79:$K$148,2,0)</f>
        <v>test17</v>
      </c>
      <c r="E22" s="6" t="str">
        <f aca="false">VLOOKUP($D22,$D$79:$F$148,2,0)</f>
        <v/>
      </c>
      <c r="F22" s="33" t="n">
        <f aca="false">VLOOKUP($D22,$D$79:$F$148,3,0)</f>
        <v>230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str">
        <f aca="false">IF(F23=F22,"-",COUNTA($D$4:D23))</f>
        <v>-</v>
      </c>
      <c r="D23" s="29" t="str">
        <f aca="false">VLOOKUP(A23,$J$79:$K$148,2,0)</f>
        <v>test18</v>
      </c>
      <c r="E23" s="29" t="str">
        <f aca="false">VLOOKUP($D23,$D$79:$F$148,2,0)</f>
        <v/>
      </c>
      <c r="F23" s="30" t="n">
        <f aca="false">VLOOKUP($D23,$D$79:$F$148,3,0)</f>
        <v>230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n">
        <f aca="false">IF(F24=F23,"-",COUNTA($D$4:D24))</f>
        <v>21</v>
      </c>
      <c r="D24" s="6" t="str">
        <f aca="false">VLOOKUP(A24,$J$79:$K$148,2,0)</f>
        <v>test37</v>
      </c>
      <c r="E24" s="6" t="str">
        <f aca="false">VLOOKUP($D24,$D$79:$F$148,2,0)</f>
        <v/>
      </c>
      <c r="F24" s="33" t="n">
        <f aca="false">VLOOKUP($D24,$D$79:$F$148,3,0)</f>
        <v>229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n">
        <f aca="false">IF(F25=F24,"-",COUNTA($D$4:D25))</f>
        <v>22</v>
      </c>
      <c r="D25" s="6" t="str">
        <f aca="false">VLOOKUP(A25,$J$79:$K$148,2,0)</f>
        <v>test49</v>
      </c>
      <c r="E25" s="6" t="str">
        <f aca="false">VLOOKUP($D25,$D$79:$F$148,2,0)</f>
        <v/>
      </c>
      <c r="F25" s="33" t="n">
        <f aca="false">VLOOKUP($D25,$D$79:$F$148,3,0)</f>
        <v>217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n">
        <f aca="false">IF(F26=F25,"-",COUNTA($D$4:D26))</f>
        <v>23</v>
      </c>
      <c r="D26" s="6" t="str">
        <f aca="false">VLOOKUP(A26,$J$79:$K$148,2,0)</f>
        <v>test26</v>
      </c>
      <c r="E26" s="6" t="str">
        <f aca="false">VLOOKUP($D26,$D$79:$F$148,2,0)</f>
        <v/>
      </c>
      <c r="F26" s="33" t="n">
        <f aca="false">VLOOKUP($D26,$D$79:$F$148,3,0)</f>
        <v>216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str">
        <f aca="false">IF(F27=F26,"-",COUNTA($D$4:D27))</f>
        <v>-</v>
      </c>
      <c r="D27" s="6" t="str">
        <f aca="false">VLOOKUP(A27,$J$79:$K$148,2,0)</f>
        <v>test27</v>
      </c>
      <c r="E27" s="6" t="str">
        <f aca="false">VLOOKUP($D27,$D$79:$F$148,2,0)</f>
        <v/>
      </c>
      <c r="F27" s="33" t="n">
        <f aca="false">VLOOKUP($D27,$D$79:$F$148,3,0)</f>
        <v>216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str">
        <f aca="false">IF(F28=F27,"-",COUNTA($D$4:D28))</f>
        <v>-</v>
      </c>
      <c r="D28" s="6" t="str">
        <f aca="false">VLOOKUP(A28,$J$79:$K$148,2,0)</f>
        <v>test28</v>
      </c>
      <c r="E28" s="6" t="str">
        <f aca="false">VLOOKUP($D28,$D$79:$F$148,2,0)</f>
        <v>France</v>
      </c>
      <c r="F28" s="33" t="n">
        <f aca="false">VLOOKUP($D28,$D$79:$F$148,3,0)</f>
        <v>216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str">
        <f aca="false">IF(F29=F28,"-",COUNTA($D$4:D29))</f>
        <v>-</v>
      </c>
      <c r="D29" s="6" t="str">
        <f aca="false">VLOOKUP(A29,$J$79:$K$148,2,0)</f>
        <v>test39</v>
      </c>
      <c r="E29" s="6" t="str">
        <f aca="false">VLOOKUP($D29,$D$79:$F$148,2,0)</f>
        <v/>
      </c>
      <c r="F29" s="33" t="n">
        <f aca="false">VLOOKUP($D29,$D$79:$F$148,3,0)</f>
        <v>216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str">
        <f aca="false">IF(F30=F29,"-",COUNTA($D$4:D30))</f>
        <v>-</v>
      </c>
      <c r="D30" s="6" t="str">
        <f aca="false">VLOOKUP(A30,$J$79:$K$148,2,0)</f>
        <v>test51</v>
      </c>
      <c r="E30" s="6" t="str">
        <f aca="false">VLOOKUP($D30,$D$79:$F$148,2,0)</f>
        <v/>
      </c>
      <c r="F30" s="33" t="n">
        <f aca="false">VLOOKUP($D30,$D$79:$F$148,3,0)</f>
        <v>216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n">
        <f aca="false">IF(F31=F30,"-",COUNTA($D$4:D31))</f>
        <v>28</v>
      </c>
      <c r="D31" s="6" t="str">
        <f aca="false">VLOOKUP(A31,$J$79:$K$148,2,0)</f>
        <v>test29</v>
      </c>
      <c r="E31" s="6" t="str">
        <f aca="false">VLOOKUP($D31,$D$79:$F$148,2,0)</f>
        <v>Germany</v>
      </c>
      <c r="F31" s="33" t="n">
        <f aca="false">VLOOKUP($D31,$D$79:$F$148,3,0)</f>
        <v>215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str">
        <f aca="false">IF(F32=F31,"-",COUNTA($D$4:D32))</f>
        <v>-</v>
      </c>
      <c r="D32" s="6" t="str">
        <f aca="false">VLOOKUP(A32,$J$79:$K$148,2,0)</f>
        <v>test30</v>
      </c>
      <c r="E32" s="6" t="str">
        <f aca="false">VLOOKUP($D32,$D$79:$F$148,2,0)</f>
        <v>Brazil</v>
      </c>
      <c r="F32" s="33" t="n">
        <f aca="false">VLOOKUP($D32,$D$79:$F$148,3,0)</f>
        <v>215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n">
        <f aca="false">IF(F33=F32,"-",COUNTA($D$4:D33))</f>
        <v>30</v>
      </c>
      <c r="D33" s="6" t="str">
        <f aca="false">VLOOKUP(A33,$J$79:$K$148,2,0)</f>
        <v>test38</v>
      </c>
      <c r="E33" s="6" t="str">
        <f aca="false">VLOOKUP($D33,$D$79:$F$148,2,0)</f>
        <v/>
      </c>
      <c r="F33" s="33" t="n">
        <f aca="false">VLOOKUP($D33,$D$79:$F$148,3,0)</f>
        <v>213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str">
        <f aca="false">IF(F34=F33,"-",COUNTA($D$4:D34))</f>
        <v>-</v>
      </c>
      <c r="D34" s="6" t="str">
        <f aca="false">VLOOKUP(A34,$J$79:$K$148,2,0)</f>
        <v>test61</v>
      </c>
      <c r="E34" s="6" t="str">
        <f aca="false">VLOOKUP($D34,$D$79:$F$148,2,0)</f>
        <v>France</v>
      </c>
      <c r="F34" s="33" t="n">
        <f aca="false">VLOOKUP($D34,$D$79:$F$148,3,0)</f>
        <v>213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n">
        <f aca="false">IF(F35=F34,"-",COUNTA($D$4:D35))</f>
        <v>32</v>
      </c>
      <c r="D35" s="6" t="str">
        <f aca="false">VLOOKUP(A35,$J$79:$K$148,2,0)</f>
        <v>test63</v>
      </c>
      <c r="E35" s="6" t="str">
        <f aca="false">VLOOKUP($D35,$D$79:$F$148,2,0)</f>
        <v>Brazil</v>
      </c>
      <c r="F35" s="33" t="n">
        <f aca="false">VLOOKUP($D35,$D$79:$F$148,3,0)</f>
        <v>212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n">
        <f aca="false">IF(F36=F35,"-",COUNTA($D$4:D36))</f>
        <v>33</v>
      </c>
      <c r="D36" s="6" t="str">
        <f aca="false">VLOOKUP(A36,$J$79:$K$148,2,0)</f>
        <v>test50</v>
      </c>
      <c r="E36" s="6" t="str">
        <f aca="false">VLOOKUP($D36,$D$79:$F$148,2,0)</f>
        <v/>
      </c>
      <c r="F36" s="33" t="n">
        <f aca="false">VLOOKUP($D36,$D$79:$F$148,3,0)</f>
        <v>201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n">
        <f aca="false">IF(F37=F36,"-",COUNTA($D$4:D37))</f>
        <v>34</v>
      </c>
      <c r="D37" s="6" t="str">
        <f aca="false">VLOOKUP(A37,$J$79:$K$148,2,0)</f>
        <v>test62</v>
      </c>
      <c r="E37" s="6" t="str">
        <f aca="false">VLOOKUP($D37,$D$79:$F$148,2,0)</f>
        <v>Germany</v>
      </c>
      <c r="F37" s="33" t="n">
        <f aca="false">VLOOKUP($D37,$D$79:$F$148,3,0)</f>
        <v>197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n">
        <f aca="false">IF(F38=F37,"-",COUNTA($D$4:D38))</f>
        <v>35</v>
      </c>
      <c r="D38" s="6" t="str">
        <f aca="false">VLOOKUP(A38,$J$79:$K$148,2,0)</f>
        <v>test56</v>
      </c>
      <c r="E38" s="6" t="str">
        <f aca="false">VLOOKUP($D38,$D$79:$F$148,2,0)</f>
        <v/>
      </c>
      <c r="F38" s="33" t="n">
        <f aca="false">VLOOKUP($D38,$D$79:$F$148,3,0)</f>
        <v>26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n">
        <f aca="false">IF(F39=F38,"-",COUNTA($D$4:D39))</f>
        <v>36</v>
      </c>
      <c r="D39" s="6" t="str">
        <f aca="false">VLOOKUP(A39,$J$79:$K$148,2,0)</f>
        <v>test44</v>
      </c>
      <c r="E39" s="6" t="str">
        <f aca="false">VLOOKUP($D39,$D$79:$F$148,2,0)</f>
        <v/>
      </c>
      <c r="F39" s="33" t="n">
        <f aca="false">VLOOKUP($D39,$D$79:$F$148,3,0)</f>
        <v>23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n">
        <f aca="false">IF(F40=F39,"-",COUNTA($D$4:D40))</f>
        <v>37</v>
      </c>
      <c r="D40" s="6" t="str">
        <f aca="false">VLOOKUP(A40,$J$79:$K$148,2,0)</f>
        <v>test57</v>
      </c>
      <c r="E40" s="6" t="str">
        <f aca="false">VLOOKUP($D40,$D$79:$F$148,2,0)</f>
        <v/>
      </c>
      <c r="F40" s="33" t="n">
        <f aca="false">VLOOKUP($D40,$D$79:$F$148,3,0)</f>
        <v>11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n">
        <f aca="false">IF(F41=F40,"-",COUNTA($D$4:D41))</f>
        <v>38</v>
      </c>
      <c r="D41" s="6" t="str">
        <f aca="false">VLOOKUP(A41,$J$79:$K$148,2,0)</f>
        <v>test55</v>
      </c>
      <c r="E41" s="6" t="str">
        <f aca="false">VLOOKUP($D41,$D$79:$F$148,2,0)</f>
        <v/>
      </c>
      <c r="F41" s="33" t="n">
        <f aca="false">VLOOKUP($D41,$D$79:$F$148,3,0)</f>
        <v>10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n">
        <f aca="false">IF(F42=F41,"-",COUNTA($D$4:D42))</f>
        <v>39</v>
      </c>
      <c r="D42" s="6" t="str">
        <f aca="false">VLOOKUP(A42,$J$79:$K$148,2,0)</f>
        <v>test45</v>
      </c>
      <c r="E42" s="6" t="str">
        <f aca="false">VLOOKUP($D42,$D$79:$F$148,2,0)</f>
        <v/>
      </c>
      <c r="F42" s="33" t="n">
        <f aca="false">VLOOKUP($D42,$D$79:$F$148,3,0)</f>
        <v>8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n">
        <f aca="false">IF(F43=F42,"-",COUNTA($D$4:D43))</f>
        <v>40</v>
      </c>
      <c r="D43" s="29" t="str">
        <f aca="false">VLOOKUP(A43,$J$79:$K$148,2,0)</f>
        <v>test43</v>
      </c>
      <c r="E43" s="29" t="str">
        <f aca="false">VLOOKUP($D43,$D$79:$F$148,2,0)</f>
        <v/>
      </c>
      <c r="F43" s="30" t="n">
        <f aca="false">VLOOKUP($D43,$D$79:$F$148,3,0)</f>
        <v>7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n">
        <f aca="false">IF(F44=F43,"-",COUNTA($D$4:D44))</f>
        <v>41</v>
      </c>
      <c r="D44" s="6" t="str">
        <f aca="false">VLOOKUP(A44,$J$79:$K$148,2,0)</f>
        <v>test23</v>
      </c>
      <c r="E44" s="6" t="str">
        <f aca="false">VLOOKUP($D44,$D$79:$F$148,2,0)</f>
        <v/>
      </c>
      <c r="F44" s="33" t="n">
        <f aca="false">VLOOKUP($D44,$D$79:$F$148,3,0)</f>
        <v>3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str">
        <f aca="false">IF(F45=F44,"-",COUNTA($D$4:D45))</f>
        <v>-</v>
      </c>
      <c r="D45" s="6" t="str">
        <f aca="false">VLOOKUP(A45,$J$79:$K$148,2,0)</f>
        <v>test24</v>
      </c>
      <c r="E45" s="6" t="str">
        <f aca="false">VLOOKUP($D45,$D$79:$F$148,2,0)</f>
        <v/>
      </c>
      <c r="F45" s="33" t="n">
        <f aca="false">VLOOKUP($D45,$D$79:$F$148,3,0)</f>
        <v>3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n">
        <f aca="false">IF(F46=F45,"-",COUNTA($D$4:D46))</f>
        <v>43</v>
      </c>
      <c r="D46" s="6" t="str">
        <f aca="false">VLOOKUP(A46,$J$79:$K$148,2,0)</f>
        <v>test20</v>
      </c>
      <c r="E46" s="6" t="str">
        <f aca="false">VLOOKUP($D46,$D$79:$F$148,2,0)</f>
        <v/>
      </c>
      <c r="F46" s="33" t="n">
        <f aca="false">VLOOKUP($D46,$D$79:$F$148,3,0)</f>
        <v>2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str">
        <f aca="false">IF(F47=F46,"-",COUNTA($D$4:D47))</f>
        <v>-</v>
      </c>
      <c r="D47" s="6" t="str">
        <f aca="false">VLOOKUP(A47,$J$79:$K$148,2,0)</f>
        <v>test21</v>
      </c>
      <c r="E47" s="6" t="str">
        <f aca="false">VLOOKUP($D47,$D$79:$F$148,2,0)</f>
        <v/>
      </c>
      <c r="F47" s="33" t="n">
        <f aca="false">VLOOKUP($D47,$D$79:$F$148,3,0)</f>
        <v>2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str">
        <f aca="false">IF(F48=F47,"-",COUNTA($D$4:D48))</f>
        <v>-</v>
      </c>
      <c r="D48" s="6" t="str">
        <f aca="false">VLOOKUP(A48,$J$79:$K$148,2,0)</f>
        <v>test22</v>
      </c>
      <c r="E48" s="6" t="str">
        <f aca="false">VLOOKUP($D48,$D$79:$F$148,2,0)</f>
        <v/>
      </c>
      <c r="F48" s="33" t="n">
        <f aca="false">VLOOKUP($D48,$D$79:$F$148,3,0)</f>
        <v>2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str">
        <f aca="false">IF(F49=F48,"-",COUNTA($D$4:D49))</f>
        <v>-</v>
      </c>
      <c r="D49" s="6" t="str">
        <f aca="false">VLOOKUP(A49,$J$79:$K$148,2,0)</f>
        <v>test32</v>
      </c>
      <c r="E49" s="6" t="str">
        <f aca="false">VLOOKUP($D49,$D$79:$F$148,2,0)</f>
        <v>Belgium</v>
      </c>
      <c r="F49" s="33" t="n">
        <f aca="false">VLOOKUP($D49,$D$79:$F$148,3,0)</f>
        <v>2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n">
        <f aca="false">IF(F50=F49,"-",COUNTA($D$4:D50))</f>
        <v>47</v>
      </c>
      <c r="D50" s="6" t="str">
        <f aca="false">VLOOKUP(A50,$J$79:$K$148,2,0)</f>
        <v>test8</v>
      </c>
      <c r="E50" s="6" t="str">
        <f aca="false">VLOOKUP($D50,$D$79:$F$148,2,0)</f>
        <v/>
      </c>
      <c r="F50" s="33" t="n">
        <f aca="false">VLOOKUP($D50,$D$79:$F$148,3,0)</f>
        <v>1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str">
        <f aca="false">IF(F51=F50,"-",COUNTA($D$4:D51))</f>
        <v>-</v>
      </c>
      <c r="D51" s="6" t="str">
        <f aca="false">VLOOKUP(A51,$J$79:$K$148,2,0)</f>
        <v>test9</v>
      </c>
      <c r="E51" s="6" t="str">
        <f aca="false">VLOOKUP($D51,$D$79:$F$148,2,0)</f>
        <v/>
      </c>
      <c r="F51" s="33" t="n">
        <f aca="false">VLOOKUP($D51,$D$79:$F$148,3,0)</f>
        <v>1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str">
        <f aca="false">IF(F52=F51,"-",COUNTA($D$4:D52))</f>
        <v>-</v>
      </c>
      <c r="D52" s="6" t="str">
        <f aca="false">VLOOKUP(A52,$J$79:$K$148,2,0)</f>
        <v>test10</v>
      </c>
      <c r="E52" s="6" t="str">
        <f aca="false">VLOOKUP($D52,$D$79:$F$148,2,0)</f>
        <v/>
      </c>
      <c r="F52" s="33" t="n">
        <f aca="false">VLOOKUP($D52,$D$79:$F$148,3,0)</f>
        <v>1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str">
        <f aca="false">IF(F53=F52,"-",COUNTA($D$4:D53))</f>
        <v>-</v>
      </c>
      <c r="D53" s="6" t="str">
        <f aca="false">VLOOKUP(A53,$J$79:$K$148,2,0)</f>
        <v>test11</v>
      </c>
      <c r="E53" s="6" t="str">
        <f aca="false">VLOOKUP($D53,$D$79:$F$148,2,0)</f>
        <v/>
      </c>
      <c r="F53" s="33" t="n">
        <f aca="false">VLOOKUP($D53,$D$79:$F$148,3,0)</f>
        <v>1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str">
        <f aca="false">IF(F54=F53,"-",COUNTA($D$4:D54))</f>
        <v>-</v>
      </c>
      <c r="D54" s="6" t="str">
        <f aca="false">VLOOKUP(A54,$J$79:$K$148,2,0)</f>
        <v>test12</v>
      </c>
      <c r="E54" s="6" t="str">
        <f aca="false">VLOOKUP($D54,$D$79:$F$148,2,0)</f>
        <v/>
      </c>
      <c r="F54" s="33" t="n">
        <f aca="false">VLOOKUP($D54,$D$79:$F$148,3,0)</f>
        <v>1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str">
        <f aca="false">IF(F55=F54,"-",COUNTA($D$4:D55))</f>
        <v>-</v>
      </c>
      <c r="D55" s="6" t="str">
        <f aca="false">VLOOKUP(A55,$J$79:$K$148,2,0)</f>
        <v>test19</v>
      </c>
      <c r="E55" s="6" t="str">
        <f aca="false">VLOOKUP($D55,$D$79:$F$148,2,0)</f>
        <v/>
      </c>
      <c r="F55" s="33" t="n">
        <f aca="false">VLOOKUP($D55,$D$79:$F$148,3,0)</f>
        <v>1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n">
        <f aca="false">IF(F56=F55,"-",COUNTA($D$4:D56))</f>
        <v>53</v>
      </c>
      <c r="D56" s="6" t="str">
        <f aca="false">VLOOKUP(A56,$J$79:$K$148,2,0)</f>
        <v>MikiZiso3</v>
      </c>
      <c r="E56" s="6" t="str">
        <f aca="false">VLOOKUP($D56,$D$79:$F$148,2,0)</f>
        <v>France</v>
      </c>
      <c r="F56" s="33" t="n">
        <f aca="false">VLOOKUP($D56,$D$79:$F$148,3,0)</f>
        <v>0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str">
        <f aca="false">IF(F57=F56,"-",COUNTA($D$4:D57))</f>
        <v>-</v>
      </c>
      <c r="D57" s="6" t="str">
        <f aca="false">VLOOKUP(A57,$J$79:$K$148,2,0)</f>
        <v>MikiZiso2</v>
      </c>
      <c r="E57" s="6" t="str">
        <f aca="false">VLOOKUP($D57,$D$79:$F$148,2,0)</f>
        <v>Germany</v>
      </c>
      <c r="F57" s="33" t="n">
        <f aca="false">VLOOKUP($D57,$D$79:$F$148,3,0)</f>
        <v>0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str">
        <f aca="false">IF(F58=F57,"-",COUNTA($D$4:D58))</f>
        <v>-</v>
      </c>
      <c r="D58" s="29" t="str">
        <f aca="false">VLOOKUP(A58,$J$79:$K$148,2,0)</f>
        <v>Miki_Ziso</v>
      </c>
      <c r="E58" s="29" t="str">
        <f aca="false">VLOOKUP($D58,$D$79:$F$148,2,0)</f>
        <v>Brazil</v>
      </c>
      <c r="F58" s="30" t="n">
        <f aca="false">VLOOKUP($D58,$D$79:$F$148,3,0)</f>
        <v>0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str">
        <f aca="false">IF(F59=F58,"-",COUNTA($D$4:D59))</f>
        <v>-</v>
      </c>
      <c r="D59" s="6" t="str">
        <f aca="false">VLOOKUP(A59,$J$79:$K$148,2,0)</f>
        <v>Nir1</v>
      </c>
      <c r="E59" s="6" t="str">
        <f aca="false">VLOOKUP($D59,$D$79:$F$148,2,0)</f>
        <v>Senegal</v>
      </c>
      <c r="F59" s="33" t="n">
        <f aca="false">VLOOKUP($D59,$D$79:$F$148,3,0)</f>
        <v>0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str">
        <f aca="false">IF(F60=F59,"-",COUNTA($D$4:D60))</f>
        <v>-</v>
      </c>
      <c r="D60" s="6" t="str">
        <f aca="false">VLOOKUP(A60,$J$79:$K$148,2,0)</f>
        <v>Nir2</v>
      </c>
      <c r="E60" s="6" t="str">
        <f aca="false">VLOOKUP($D60,$D$79:$F$148,2,0)</f>
        <v>Belgium</v>
      </c>
      <c r="F60" s="33" t="n">
        <f aca="false">VLOOKUP($D60,$D$79:$F$148,3,0)</f>
        <v>0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str">
        <f aca="false">IF(F61=F60,"-",COUNTA($D$4:D61))</f>
        <v>-</v>
      </c>
      <c r="D61" s="6" t="str">
        <f aca="false">VLOOKUP(A61,$J$79:$K$148,2,0)</f>
        <v>Nir3</v>
      </c>
      <c r="E61" s="6" t="str">
        <f aca="false">VLOOKUP($D61,$D$79:$F$148,2,0)</f>
        <v>Uzbekistan</v>
      </c>
      <c r="F61" s="33" t="n">
        <f aca="false">VLOOKUP($D61,$D$79:$F$148,3,0)</f>
        <v>0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str">
        <f aca="false">IF(F62=F61,"-",COUNTA($D$4:D62))</f>
        <v>-</v>
      </c>
      <c r="D62" s="6" t="str">
        <f aca="false">VLOOKUP(A62,$J$79:$K$148,2,0)</f>
        <v>test7</v>
      </c>
      <c r="E62" s="6" t="str">
        <f aca="false">VLOOKUP($D62,$D$79:$F$148,2,0)</f>
        <v/>
      </c>
      <c r="F62" s="33" t="n">
        <f aca="false">VLOOKUP($D62,$D$79:$F$148,3,0)</f>
        <v>0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str">
        <f aca="false">IF(F63=F62,"-",COUNTA($D$4:D63))</f>
        <v>-</v>
      </c>
      <c r="D63" s="6" t="str">
        <f aca="false">VLOOKUP(A63,$J$79:$K$148,2,0)</f>
        <v>test35</v>
      </c>
      <c r="E63" s="6" t="str">
        <f aca="false">VLOOKUP($D63,$D$79:$F$148,2,0)</f>
        <v/>
      </c>
      <c r="F63" s="33" t="n">
        <f aca="false">VLOOKUP($D63,$D$79:$F$148,3,0)</f>
        <v>0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str">
        <f aca="false">IF(F64=F63,"-",COUNTA($D$4:D64))</f>
        <v>-</v>
      </c>
      <c r="D64" s="6" t="str">
        <f aca="false">VLOOKUP(A64,$J$79:$K$148,2,0)</f>
        <v>test36</v>
      </c>
      <c r="E64" s="6" t="str">
        <f aca="false">VLOOKUP($D64,$D$79:$F$148,2,0)</f>
        <v/>
      </c>
      <c r="F64" s="33" t="n">
        <f aca="false">VLOOKUP($D64,$D$79:$F$148,3,0)</f>
        <v>0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n">
        <f aca="false">IF(F65=F64,"-",COUNTA($D$4:D65))</f>
        <v>62</v>
      </c>
      <c r="D65" s="6" t="str">
        <f aca="false">VLOOKUP(A65,$J$79:$K$148,2,0)</f>
        <v>test33</v>
      </c>
      <c r="E65" s="6" t="str">
        <f aca="false">VLOOKUP($D65,$D$79:$F$148,2,0)</f>
        <v>Uzbekistan</v>
      </c>
      <c r="F65" s="33" t="n">
        <f aca="false">VLOOKUP($D65,$D$79:$F$148,3,0)</f>
        <v>-1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str">
        <f aca="false">IF(F66=F65,"-",COUNTA($D$4:D66))</f>
        <v>-</v>
      </c>
      <c r="D66" s="6" t="str">
        <f aca="false">VLOOKUP(A66,$J$79:$K$148,2,0)</f>
        <v>test34</v>
      </c>
      <c r="E66" s="6" t="str">
        <f aca="false">VLOOKUP($D66,$D$79:$F$148,2,0)</f>
        <v/>
      </c>
      <c r="F66" s="33" t="n">
        <f aca="false">VLOOKUP($D66,$D$79:$F$148,3,0)</f>
        <v>-1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n">
        <f aca="false">IF(F67=F66,"-",COUNTA($D$4:D67))</f>
        <v>64</v>
      </c>
      <c r="D67" s="6" t="str">
        <f aca="false">VLOOKUP(A67,$J$79:$K$148,2,0)</f>
        <v>test58</v>
      </c>
      <c r="E67" s="6" t="str">
        <f aca="false">VLOOKUP($D67,$D$79:$F$148,2,0)</f>
        <v/>
      </c>
      <c r="F67" s="33" t="n">
        <f aca="false">VLOOKUP($D67,$D$79:$F$148,3,0)</f>
        <v>-10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n">
        <f aca="false">IF(F68=F67,"-",COUNTA($D$4:D68))</f>
        <v>65</v>
      </c>
      <c r="D68" s="6" t="str">
        <f aca="false">VLOOKUP(A68,$J$79:$K$148,2,0)</f>
        <v>test47</v>
      </c>
      <c r="E68" s="6" t="str">
        <f aca="false">VLOOKUP($D68,$D$79:$F$148,2,0)</f>
        <v/>
      </c>
      <c r="F68" s="33" t="n">
        <f aca="false">VLOOKUP($D68,$D$79:$F$148,3,0)</f>
        <v>-12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str">
        <f aca="false">IF(F69=F68,"-",COUNTA($D$4:D69))</f>
        <v>-</v>
      </c>
      <c r="D69" s="6" t="str">
        <f aca="false">VLOOKUP(A69,$J$79:$K$148,2,0)</f>
        <v>test48</v>
      </c>
      <c r="E69" s="6" t="str">
        <f aca="false">VLOOKUP($D69,$D$79:$F$148,2,0)</f>
        <v/>
      </c>
      <c r="F69" s="33" t="n">
        <f aca="false">VLOOKUP($D69,$D$79:$F$148,3,0)</f>
        <v>-12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n">
        <f aca="false">IF(F70=F69,"-",COUNTA($D$4:D70))</f>
        <v>67</v>
      </c>
      <c r="D70" s="6" t="str">
        <f aca="false">VLOOKUP(A70,$J$79:$K$148,2,0)</f>
        <v>test46</v>
      </c>
      <c r="E70" s="6" t="str">
        <f aca="false">VLOOKUP($D70,$D$79:$F$148,2,0)</f>
        <v/>
      </c>
      <c r="F70" s="33" t="n">
        <f aca="false">VLOOKUP($D70,$D$79:$F$148,3,0)</f>
        <v>-13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n">
        <f aca="false">IF(F71=F70,"-",COUNTA($D$4:D71))</f>
        <v>68</v>
      </c>
      <c r="D71" s="6" t="str">
        <f aca="false">VLOOKUP(A71,$J$79:$K$148,2,0)</f>
        <v>test31</v>
      </c>
      <c r="E71" s="6" t="str">
        <f aca="false">VLOOKUP($D71,$D$79:$F$148,2,0)</f>
        <v>Senegal</v>
      </c>
      <c r="F71" s="33" t="n">
        <f aca="false">VLOOKUP($D71,$D$79:$F$148,3,0)</f>
        <v>-14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n">
        <f aca="false">IF(F72=F71,"-",COUNTA($D$4:D72))</f>
        <v>69</v>
      </c>
      <c r="D72" s="6" t="str">
        <f aca="false">VLOOKUP(A72,$J$79:$K$148,2,0)</f>
        <v>test59</v>
      </c>
      <c r="E72" s="6" t="str">
        <f aca="false">VLOOKUP($D72,$D$79:$F$148,2,0)</f>
        <v/>
      </c>
      <c r="F72" s="33" t="n">
        <f aca="false">VLOOKUP($D72,$D$79:$F$148,3,0)</f>
        <v>-16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str">
        <f aca="false">IF(F73=F72,"-",COUNTA($D$4:D73))</f>
        <v>-</v>
      </c>
      <c r="D73" s="37" t="str">
        <f aca="false">VLOOKUP(A73,$J$79:$K$148,2,0)</f>
        <v>test60</v>
      </c>
      <c r="E73" s="37" t="str">
        <f aca="false">VLOOKUP($D73,$D$79:$F$148,2,0)</f>
        <v/>
      </c>
      <c r="F73" s="38" t="n">
        <f aca="false">VLOOKUP($D73,$D$79:$F$148,3,0)</f>
        <v>-16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str">
        <f aca="false">Calc!C238</f>
        <v>France</v>
      </c>
      <c r="F79" s="33" t="n">
        <f aca="false">Calc!F238</f>
        <v>0</v>
      </c>
      <c r="G79" s="41" t="n">
        <f aca="false">_xlfn.RANK.EQ(F79,$F$79:$F$148)</f>
        <v>53</v>
      </c>
      <c r="H79" s="1" t="n">
        <f aca="false">COUNTIF($G$79:$G$148,G79)</f>
        <v>9</v>
      </c>
      <c r="I79" s="1" t="n">
        <f aca="false">COUNTIF($G$79:G79,G79)</f>
        <v>1</v>
      </c>
      <c r="J79" s="1" t="n">
        <f aca="false">G79+I79-1</f>
        <v>53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str">
        <f aca="false">Calc!C239</f>
        <v>Germany</v>
      </c>
      <c r="F80" s="33" t="n">
        <f aca="false">Calc!F239</f>
        <v>0</v>
      </c>
      <c r="G80" s="41" t="n">
        <f aca="false">_xlfn.RANK.EQ(F80,$F$79:$F$148)</f>
        <v>53</v>
      </c>
      <c r="H80" s="1" t="n">
        <f aca="false">COUNTIF($G$79:$G$148,G80)</f>
        <v>9</v>
      </c>
      <c r="I80" s="1" t="n">
        <f aca="false">COUNTIF($G$79:G80,G80)</f>
        <v>2</v>
      </c>
      <c r="J80" s="1" t="n">
        <f aca="false">G80+I80-1</f>
        <v>54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str">
        <f aca="false">Calc!C240</f>
        <v>Brazil</v>
      </c>
      <c r="F81" s="33" t="n">
        <f aca="false">Calc!F240</f>
        <v>0</v>
      </c>
      <c r="G81" s="41" t="n">
        <f aca="false">_xlfn.RANK.EQ(F81,$F$79:$F$148)</f>
        <v>53</v>
      </c>
      <c r="H81" s="1" t="n">
        <f aca="false">COUNTIF($G$79:$G$148,G81)</f>
        <v>9</v>
      </c>
      <c r="I81" s="1" t="n">
        <f aca="false">COUNTIF($G$79:G81,G81)</f>
        <v>3</v>
      </c>
      <c r="J81" s="1" t="n">
        <f aca="false">G81+I81-1</f>
        <v>55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str">
        <f aca="false">Calc!C241</f>
        <v>Senegal</v>
      </c>
      <c r="F82" s="33" t="n">
        <f aca="false">Calc!F241</f>
        <v>0</v>
      </c>
      <c r="G82" s="41" t="n">
        <f aca="false">_xlfn.RANK.EQ(F82,$F$79:$F$148)</f>
        <v>53</v>
      </c>
      <c r="H82" s="1" t="n">
        <f aca="false">COUNTIF($G$79:$G$148,G82)</f>
        <v>9</v>
      </c>
      <c r="I82" s="1" t="n">
        <f aca="false">COUNTIF($G$79:G82,G82)</f>
        <v>4</v>
      </c>
      <c r="J82" s="1" t="n">
        <f aca="false">G82+I82-1</f>
        <v>56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str">
        <f aca="false">Calc!C242</f>
        <v>Belgium</v>
      </c>
      <c r="F83" s="33" t="n">
        <f aca="false">Calc!F242</f>
        <v>0</v>
      </c>
      <c r="G83" s="41" t="n">
        <f aca="false">_xlfn.RANK.EQ(F83,$F$79:$F$148)</f>
        <v>53</v>
      </c>
      <c r="H83" s="1" t="n">
        <f aca="false">COUNTIF($G$79:$G$148,G83)</f>
        <v>9</v>
      </c>
      <c r="I83" s="1" t="n">
        <f aca="false">COUNTIF($G$79:G83,G83)</f>
        <v>5</v>
      </c>
      <c r="J83" s="1" t="n">
        <f aca="false">G83+I83-1</f>
        <v>57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str">
        <f aca="false">Calc!C243</f>
        <v>Uzbekistan</v>
      </c>
      <c r="F84" s="33" t="n">
        <f aca="false">Calc!F243</f>
        <v>0</v>
      </c>
      <c r="G84" s="41" t="n">
        <f aca="false">_xlfn.RANK.EQ(F84,$F$79:$F$148)</f>
        <v>53</v>
      </c>
      <c r="H84" s="1" t="n">
        <f aca="false">COUNTIF($G$79:$G$148,G84)</f>
        <v>9</v>
      </c>
      <c r="I84" s="1" t="n">
        <f aca="false">COUNTIF($G$79:G84,G84)</f>
        <v>6</v>
      </c>
      <c r="J84" s="1" t="n">
        <f aca="false">G84+I84-1</f>
        <v>58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230</v>
      </c>
      <c r="G85" s="41" t="n">
        <f aca="false">_xlfn.RANK.EQ(F85,$F$79:$F$148)</f>
        <v>10</v>
      </c>
      <c r="H85" s="1" t="n">
        <f aca="false">COUNTIF($G$79:$G$148,G85)</f>
        <v>11</v>
      </c>
      <c r="I85" s="1" t="n">
        <f aca="false">COUNTIF($G$79:G85,G85)</f>
        <v>1</v>
      </c>
      <c r="J85" s="1" t="n">
        <f aca="false">G85+I85-1</f>
        <v>10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230</v>
      </c>
      <c r="G86" s="41" t="n">
        <f aca="false">_xlfn.RANK.EQ(F86,$F$79:$F$148)</f>
        <v>10</v>
      </c>
      <c r="H86" s="1" t="n">
        <f aca="false">COUNTIF($G$79:$G$148,G86)</f>
        <v>11</v>
      </c>
      <c r="I86" s="1" t="n">
        <f aca="false">COUNTIF($G$79:G86,G86)</f>
        <v>2</v>
      </c>
      <c r="J86" s="1" t="n">
        <f aca="false">G86+I86-1</f>
        <v>11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230</v>
      </c>
      <c r="G87" s="41" t="n">
        <f aca="false">_xlfn.RANK.EQ(F87,$F$79:$F$148)</f>
        <v>10</v>
      </c>
      <c r="H87" s="1" t="n">
        <f aca="false">COUNTIF($G$79:$G$148,G87)</f>
        <v>11</v>
      </c>
      <c r="I87" s="1" t="n">
        <f aca="false">COUNTIF($G$79:G87,G87)</f>
        <v>3</v>
      </c>
      <c r="J87" s="1" t="n">
        <f aca="false">G87+I87-1</f>
        <v>12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230</v>
      </c>
      <c r="G88" s="41" t="n">
        <f aca="false">_xlfn.RANK.EQ(F88,$F$79:$F$148)</f>
        <v>10</v>
      </c>
      <c r="H88" s="1" t="n">
        <f aca="false">COUNTIF($G$79:$G$148,G88)</f>
        <v>11</v>
      </c>
      <c r="I88" s="1" t="n">
        <f aca="false">COUNTIF($G$79:G88,G88)</f>
        <v>4</v>
      </c>
      <c r="J88" s="1" t="n">
        <f aca="false">G88+I88-1</f>
        <v>13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230</v>
      </c>
      <c r="G89" s="41" t="n">
        <f aca="false">_xlfn.RANK.EQ(F89,$F$79:$F$148)</f>
        <v>10</v>
      </c>
      <c r="H89" s="1" t="n">
        <f aca="false">COUNTIF($G$79:$G$148,G89)</f>
        <v>11</v>
      </c>
      <c r="I89" s="1" t="n">
        <f aca="false">COUNTIF($G$79:G89,G89)</f>
        <v>5</v>
      </c>
      <c r="J89" s="1" t="n">
        <f aca="false">G89+I89-1</f>
        <v>14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230</v>
      </c>
      <c r="G90" s="41" t="n">
        <f aca="false">_xlfn.RANK.EQ(F90,$F$79:$F$148)</f>
        <v>10</v>
      </c>
      <c r="H90" s="1" t="n">
        <f aca="false">COUNTIF($G$79:$G$148,G90)</f>
        <v>11</v>
      </c>
      <c r="I90" s="1" t="n">
        <f aca="false">COUNTIF($G$79:G90,G90)</f>
        <v>6</v>
      </c>
      <c r="J90" s="1" t="n">
        <f aca="false">G90+I90-1</f>
        <v>15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n">
        <f aca="false">_xlfn.RANK.EQ(F91,$F$79:$F$148)</f>
        <v>53</v>
      </c>
      <c r="H91" s="1" t="n">
        <f aca="false">COUNTIF($G$79:$G$148,G91)</f>
        <v>9</v>
      </c>
      <c r="I91" s="1" t="n">
        <f aca="false">COUNTIF($G$79:G91,G91)</f>
        <v>7</v>
      </c>
      <c r="J91" s="1" t="n">
        <f aca="false">G91+I91-1</f>
        <v>59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1</v>
      </c>
      <c r="G92" s="41" t="n">
        <f aca="false">_xlfn.RANK.EQ(F92,$F$79:$F$148)</f>
        <v>47</v>
      </c>
      <c r="H92" s="1" t="n">
        <f aca="false">COUNTIF($G$79:$G$148,G92)</f>
        <v>6</v>
      </c>
      <c r="I92" s="1" t="n">
        <f aca="false">COUNTIF($G$79:G92,G92)</f>
        <v>1</v>
      </c>
      <c r="J92" s="1" t="n">
        <f aca="false">G92+I92-1</f>
        <v>47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1</v>
      </c>
      <c r="G93" s="41" t="n">
        <f aca="false">_xlfn.RANK.EQ(F93,$F$79:$F$148)</f>
        <v>47</v>
      </c>
      <c r="H93" s="1" t="n">
        <f aca="false">COUNTIF($G$79:$G$148,G93)</f>
        <v>6</v>
      </c>
      <c r="I93" s="1" t="n">
        <f aca="false">COUNTIF($G$79:G93,G93)</f>
        <v>2</v>
      </c>
      <c r="J93" s="1" t="n">
        <f aca="false">G93+I93-1</f>
        <v>48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1</v>
      </c>
      <c r="G94" s="41" t="n">
        <f aca="false">_xlfn.RANK.EQ(F94,$F$79:$F$148)</f>
        <v>47</v>
      </c>
      <c r="H94" s="1" t="n">
        <f aca="false">COUNTIF($G$79:$G$148,G94)</f>
        <v>6</v>
      </c>
      <c r="I94" s="1" t="n">
        <f aca="false">COUNTIF($G$79:G94,G94)</f>
        <v>3</v>
      </c>
      <c r="J94" s="1" t="n">
        <f aca="false">G94+I94-1</f>
        <v>49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1</v>
      </c>
      <c r="G95" s="41" t="n">
        <f aca="false">_xlfn.RANK.EQ(F95,$F$79:$F$148)</f>
        <v>47</v>
      </c>
      <c r="H95" s="1" t="n">
        <f aca="false">COUNTIF($G$79:$G$148,G95)</f>
        <v>6</v>
      </c>
      <c r="I95" s="1" t="n">
        <f aca="false">COUNTIF($G$79:G95,G95)</f>
        <v>4</v>
      </c>
      <c r="J95" s="1" t="n">
        <f aca="false">G95+I95-1</f>
        <v>50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1</v>
      </c>
      <c r="G96" s="41" t="n">
        <f aca="false">_xlfn.RANK.EQ(F96,$F$79:$F$148)</f>
        <v>47</v>
      </c>
      <c r="H96" s="1" t="n">
        <f aca="false">COUNTIF($G$79:$G$148,G96)</f>
        <v>6</v>
      </c>
      <c r="I96" s="1" t="n">
        <f aca="false">COUNTIF($G$79:G96,G96)</f>
        <v>5</v>
      </c>
      <c r="J96" s="1" t="n">
        <f aca="false">G96+I96-1</f>
        <v>51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231</v>
      </c>
      <c r="G97" s="41" t="n">
        <f aca="false">_xlfn.RANK.EQ(F97,$F$79:$F$148)</f>
        <v>9</v>
      </c>
      <c r="H97" s="1" t="n">
        <f aca="false">COUNTIF($G$79:$G$148,G97)</f>
        <v>1</v>
      </c>
      <c r="I97" s="1" t="n">
        <f aca="false">COUNTIF($G$79:G97,G97)</f>
        <v>1</v>
      </c>
      <c r="J97" s="1" t="n">
        <f aca="false">G97+I97-1</f>
        <v>9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230</v>
      </c>
      <c r="G98" s="41" t="n">
        <f aca="false">_xlfn.RANK.EQ(F98,$F$79:$F$148)</f>
        <v>10</v>
      </c>
      <c r="H98" s="1" t="n">
        <f aca="false">COUNTIF($G$79:$G$148,G98)</f>
        <v>11</v>
      </c>
      <c r="I98" s="1" t="n">
        <f aca="false">COUNTIF($G$79:G98,G98)</f>
        <v>7</v>
      </c>
      <c r="J98" s="1" t="n">
        <f aca="false">G98+I98-1</f>
        <v>16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230</v>
      </c>
      <c r="G99" s="41" t="n">
        <f aca="false">_xlfn.RANK.EQ(F99,$F$79:$F$148)</f>
        <v>10</v>
      </c>
      <c r="H99" s="1" t="n">
        <f aca="false">COUNTIF($G$79:$G$148,G99)</f>
        <v>11</v>
      </c>
      <c r="I99" s="1" t="n">
        <f aca="false">COUNTIF($G$79:G99,G99)</f>
        <v>8</v>
      </c>
      <c r="J99" s="1" t="n">
        <f aca="false">G99+I99-1</f>
        <v>17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230</v>
      </c>
      <c r="G100" s="41" t="n">
        <f aca="false">_xlfn.RANK.EQ(F100,$F$79:$F$148)</f>
        <v>10</v>
      </c>
      <c r="H100" s="1" t="n">
        <f aca="false">COUNTIF($G$79:$G$148,G100)</f>
        <v>11</v>
      </c>
      <c r="I100" s="1" t="n">
        <f aca="false">COUNTIF($G$79:G100,G100)</f>
        <v>9</v>
      </c>
      <c r="J100" s="1" t="n">
        <f aca="false">G100+I100-1</f>
        <v>18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230</v>
      </c>
      <c r="G101" s="41" t="n">
        <f aca="false">_xlfn.RANK.EQ(F101,$F$79:$F$148)</f>
        <v>10</v>
      </c>
      <c r="H101" s="1" t="n">
        <f aca="false">COUNTIF($G$79:$G$148,G101)</f>
        <v>11</v>
      </c>
      <c r="I101" s="1" t="n">
        <f aca="false">COUNTIF($G$79:G101,G101)</f>
        <v>10</v>
      </c>
      <c r="J101" s="1" t="n">
        <f aca="false">G101+I101-1</f>
        <v>19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230</v>
      </c>
      <c r="G102" s="41" t="n">
        <f aca="false">_xlfn.RANK.EQ(F102,$F$79:$F$148)</f>
        <v>10</v>
      </c>
      <c r="H102" s="1" t="n">
        <f aca="false">COUNTIF($G$79:$G$148,G102)</f>
        <v>11</v>
      </c>
      <c r="I102" s="1" t="n">
        <f aca="false">COUNTIF($G$79:G102,G102)</f>
        <v>11</v>
      </c>
      <c r="J102" s="1" t="n">
        <f aca="false">G102+I102-1</f>
        <v>20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1</v>
      </c>
      <c r="G103" s="41" t="n">
        <f aca="false">_xlfn.RANK.EQ(F103,$F$79:$F$148)</f>
        <v>47</v>
      </c>
      <c r="H103" s="1" t="n">
        <f aca="false">COUNTIF($G$79:$G$148,G103)</f>
        <v>6</v>
      </c>
      <c r="I103" s="1" t="n">
        <f aca="false">COUNTIF($G$79:G103,G103)</f>
        <v>6</v>
      </c>
      <c r="J103" s="1" t="n">
        <f aca="false">G103+I103-1</f>
        <v>52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2</v>
      </c>
      <c r="G104" s="41" t="n">
        <f aca="false">_xlfn.RANK.EQ(F104,$F$79:$F$148)</f>
        <v>43</v>
      </c>
      <c r="H104" s="1" t="n">
        <f aca="false">COUNTIF($G$79:$G$148,G104)</f>
        <v>4</v>
      </c>
      <c r="I104" s="1" t="n">
        <f aca="false">COUNTIF($G$79:G104,G104)</f>
        <v>1</v>
      </c>
      <c r="J104" s="1" t="n">
        <f aca="false">G104+I104-1</f>
        <v>43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2</v>
      </c>
      <c r="G105" s="41" t="n">
        <f aca="false">_xlfn.RANK.EQ(F105,$F$79:$F$148)</f>
        <v>43</v>
      </c>
      <c r="H105" s="1" t="n">
        <f aca="false">COUNTIF($G$79:$G$148,G105)</f>
        <v>4</v>
      </c>
      <c r="I105" s="1" t="n">
        <f aca="false">COUNTIF($G$79:G105,G105)</f>
        <v>2</v>
      </c>
      <c r="J105" s="1" t="n">
        <f aca="false">G105+I105-1</f>
        <v>44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2</v>
      </c>
      <c r="G106" s="41" t="n">
        <f aca="false">_xlfn.RANK.EQ(F106,$F$79:$F$148)</f>
        <v>43</v>
      </c>
      <c r="H106" s="1" t="n">
        <f aca="false">COUNTIF($G$79:$G$148,G106)</f>
        <v>4</v>
      </c>
      <c r="I106" s="1" t="n">
        <f aca="false">COUNTIF($G$79:G106,G106)</f>
        <v>3</v>
      </c>
      <c r="J106" s="1" t="n">
        <f aca="false">G106+I106-1</f>
        <v>45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3</v>
      </c>
      <c r="G107" s="41" t="n">
        <f aca="false">_xlfn.RANK.EQ(F107,$F$79:$F$148)</f>
        <v>41</v>
      </c>
      <c r="H107" s="1" t="n">
        <f aca="false">COUNTIF($G$79:$G$148,G107)</f>
        <v>2</v>
      </c>
      <c r="I107" s="1" t="n">
        <f aca="false">COUNTIF($G$79:G107,G107)</f>
        <v>1</v>
      </c>
      <c r="J107" s="1" t="n">
        <f aca="false">G107+I107-1</f>
        <v>41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3</v>
      </c>
      <c r="G108" s="41" t="n">
        <f aca="false">_xlfn.RANK.EQ(F108,$F$79:$F$148)</f>
        <v>41</v>
      </c>
      <c r="H108" s="1" t="n">
        <f aca="false">COUNTIF($G$79:$G$148,G108)</f>
        <v>2</v>
      </c>
      <c r="I108" s="1" t="n">
        <f aca="false">COUNTIF($G$79:G108,G108)</f>
        <v>2</v>
      </c>
      <c r="J108" s="1" t="n">
        <f aca="false">G108+I108-1</f>
        <v>42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232</v>
      </c>
      <c r="G109" s="41" t="n">
        <f aca="false">_xlfn.RANK.EQ(F109,$F$79:$F$148)</f>
        <v>8</v>
      </c>
      <c r="H109" s="1" t="n">
        <f aca="false">COUNTIF($G$79:$G$148,G109)</f>
        <v>1</v>
      </c>
      <c r="I109" s="1" t="n">
        <f aca="false">COUNTIF($G$79:G109,G109)</f>
        <v>1</v>
      </c>
      <c r="J109" s="1" t="n">
        <f aca="false">G109+I109-1</f>
        <v>8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216</v>
      </c>
      <c r="G110" s="41" t="n">
        <f aca="false">_xlfn.RANK.EQ(F110,$F$79:$F$148)</f>
        <v>23</v>
      </c>
      <c r="H110" s="1" t="n">
        <f aca="false">COUNTIF($G$79:$G$148,G110)</f>
        <v>5</v>
      </c>
      <c r="I110" s="1" t="n">
        <f aca="false">COUNTIF($G$79:G110,G110)</f>
        <v>1</v>
      </c>
      <c r="J110" s="1" t="n">
        <f aca="false">G110+I110-1</f>
        <v>23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216</v>
      </c>
      <c r="G111" s="41" t="n">
        <f aca="false">_xlfn.RANK.EQ(F111,$F$79:$F$148)</f>
        <v>23</v>
      </c>
      <c r="H111" s="1" t="n">
        <f aca="false">COUNTIF($G$79:$G$148,G111)</f>
        <v>5</v>
      </c>
      <c r="I111" s="1" t="n">
        <f aca="false">COUNTIF($G$79:G111,G111)</f>
        <v>2</v>
      </c>
      <c r="J111" s="1" t="n">
        <f aca="false">G111+I111-1</f>
        <v>24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str">
        <f aca="false">Calc!C271</f>
        <v>France</v>
      </c>
      <c r="F112" s="33" t="n">
        <f aca="false">Calc!F271</f>
        <v>216</v>
      </c>
      <c r="G112" s="41" t="n">
        <f aca="false">_xlfn.RANK.EQ(F112,$F$79:$F$148)</f>
        <v>23</v>
      </c>
      <c r="H112" s="1" t="n">
        <f aca="false">COUNTIF($G$79:$G$148,G112)</f>
        <v>5</v>
      </c>
      <c r="I112" s="1" t="n">
        <f aca="false">COUNTIF($G$79:G112,G112)</f>
        <v>3</v>
      </c>
      <c r="J112" s="1" t="n">
        <f aca="false">G112+I112-1</f>
        <v>25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str">
        <f aca="false">Calc!C272</f>
        <v>Germany</v>
      </c>
      <c r="F113" s="33" t="n">
        <f aca="false">Calc!F272</f>
        <v>215</v>
      </c>
      <c r="G113" s="41" t="n">
        <f aca="false">_xlfn.RANK.EQ(F113,$F$79:$F$148)</f>
        <v>28</v>
      </c>
      <c r="H113" s="1" t="n">
        <f aca="false">COUNTIF($G$79:$G$148,G113)</f>
        <v>2</v>
      </c>
      <c r="I113" s="1" t="n">
        <f aca="false">COUNTIF($G$79:G113,G113)</f>
        <v>1</v>
      </c>
      <c r="J113" s="1" t="n">
        <f aca="false">G113+I113-1</f>
        <v>28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str">
        <f aca="false">Calc!C273</f>
        <v>Brazil</v>
      </c>
      <c r="F114" s="33" t="n">
        <f aca="false">Calc!F273</f>
        <v>215</v>
      </c>
      <c r="G114" s="41" t="n">
        <f aca="false">_xlfn.RANK.EQ(F114,$F$79:$F$148)</f>
        <v>28</v>
      </c>
      <c r="H114" s="1" t="n">
        <f aca="false">COUNTIF($G$79:$G$148,G114)</f>
        <v>2</v>
      </c>
      <c r="I114" s="1" t="n">
        <f aca="false">COUNTIF($G$79:G114,G114)</f>
        <v>2</v>
      </c>
      <c r="J114" s="1" t="n">
        <f aca="false">G114+I114-1</f>
        <v>29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str">
        <f aca="false">Calc!C274</f>
        <v>Senegal</v>
      </c>
      <c r="F115" s="33" t="n">
        <f aca="false">Calc!F274</f>
        <v>-14</v>
      </c>
      <c r="G115" s="41" t="n">
        <f aca="false">_xlfn.RANK.EQ(F115,$F$79:$F$148)</f>
        <v>68</v>
      </c>
      <c r="H115" s="1" t="n">
        <f aca="false">COUNTIF($G$79:$G$148,G115)</f>
        <v>1</v>
      </c>
      <c r="I115" s="1" t="n">
        <f aca="false">COUNTIF($G$79:G115,G115)</f>
        <v>1</v>
      </c>
      <c r="J115" s="1" t="n">
        <f aca="false">G115+I115-1</f>
        <v>68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str">
        <f aca="false">Calc!C275</f>
        <v>Belgium</v>
      </c>
      <c r="F116" s="33" t="n">
        <f aca="false">Calc!F275</f>
        <v>2</v>
      </c>
      <c r="G116" s="41" t="n">
        <f aca="false">_xlfn.RANK.EQ(F116,$F$79:$F$148)</f>
        <v>43</v>
      </c>
      <c r="H116" s="1" t="n">
        <f aca="false">COUNTIF($G$79:$G$148,G116)</f>
        <v>4</v>
      </c>
      <c r="I116" s="1" t="n">
        <f aca="false">COUNTIF($G$79:G116,G116)</f>
        <v>4</v>
      </c>
      <c r="J116" s="1" t="n">
        <f aca="false">G116+I116-1</f>
        <v>46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str">
        <f aca="false">Calc!C276</f>
        <v>Uzbekistan</v>
      </c>
      <c r="F117" s="33" t="n">
        <f aca="false">Calc!F276</f>
        <v>-1</v>
      </c>
      <c r="G117" s="41" t="n">
        <f aca="false">_xlfn.RANK.EQ(F117,$F$79:$F$148)</f>
        <v>62</v>
      </c>
      <c r="H117" s="1" t="n">
        <f aca="false">COUNTIF($G$79:$G$148,G117)</f>
        <v>2</v>
      </c>
      <c r="I117" s="1" t="n">
        <f aca="false">COUNTIF($G$79:G117,G117)</f>
        <v>1</v>
      </c>
      <c r="J117" s="1" t="n">
        <f aca="false">G117+I117-1</f>
        <v>62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-1</v>
      </c>
      <c r="G118" s="41" t="n">
        <f aca="false">_xlfn.RANK.EQ(F118,$F$79:$F$148)</f>
        <v>62</v>
      </c>
      <c r="H118" s="1" t="n">
        <f aca="false">COUNTIF($G$79:$G$148,G118)</f>
        <v>2</v>
      </c>
      <c r="I118" s="1" t="n">
        <f aca="false">COUNTIF($G$79:G118,G118)</f>
        <v>2</v>
      </c>
      <c r="J118" s="1" t="n">
        <f aca="false">G118+I118-1</f>
        <v>63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n">
        <f aca="false">_xlfn.RANK.EQ(F119,$F$79:$F$148)</f>
        <v>53</v>
      </c>
      <c r="H119" s="1" t="n">
        <f aca="false">COUNTIF($G$79:$G$148,G119)</f>
        <v>9</v>
      </c>
      <c r="I119" s="1" t="n">
        <f aca="false">COUNTIF($G$79:G119,G119)</f>
        <v>8</v>
      </c>
      <c r="J119" s="1" t="n">
        <f aca="false">G119+I119-1</f>
        <v>60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n">
        <f aca="false">_xlfn.RANK.EQ(F120,$F$79:$F$148)</f>
        <v>53</v>
      </c>
      <c r="H120" s="1" t="n">
        <f aca="false">COUNTIF($G$79:$G$148,G120)</f>
        <v>9</v>
      </c>
      <c r="I120" s="1" t="n">
        <f aca="false">COUNTIF($G$79:G120,G120)</f>
        <v>9</v>
      </c>
      <c r="J120" s="1" t="n">
        <f aca="false">G120+I120-1</f>
        <v>61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229</v>
      </c>
      <c r="G121" s="41" t="n">
        <f aca="false">_xlfn.RANK.EQ(F121,$F$79:$F$148)</f>
        <v>21</v>
      </c>
      <c r="H121" s="1" t="n">
        <f aca="false">COUNTIF($G$79:$G$148,G121)</f>
        <v>1</v>
      </c>
      <c r="I121" s="1" t="n">
        <f aca="false">COUNTIF($G$79:G121,G121)</f>
        <v>1</v>
      </c>
      <c r="J121" s="1" t="n">
        <f aca="false">G121+I121-1</f>
        <v>21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213</v>
      </c>
      <c r="G122" s="41" t="n">
        <f aca="false">_xlfn.RANK.EQ(F122,$F$79:$F$148)</f>
        <v>30</v>
      </c>
      <c r="H122" s="1" t="n">
        <f aca="false">COUNTIF($G$79:$G$148,G122)</f>
        <v>2</v>
      </c>
      <c r="I122" s="1" t="n">
        <f aca="false">COUNTIF($G$79:G122,G122)</f>
        <v>1</v>
      </c>
      <c r="J122" s="1" t="n">
        <f aca="false">G122+I122-1</f>
        <v>30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216</v>
      </c>
      <c r="G123" s="41" t="n">
        <f aca="false">_xlfn.RANK.EQ(F123,$F$79:$F$148)</f>
        <v>23</v>
      </c>
      <c r="H123" s="1" t="n">
        <f aca="false">COUNTIF($G$79:$G$148,G123)</f>
        <v>5</v>
      </c>
      <c r="I123" s="1" t="n">
        <f aca="false">COUNTIF($G$79:G123,G123)</f>
        <v>4</v>
      </c>
      <c r="J123" s="1" t="n">
        <f aca="false">G123+I123-1</f>
        <v>26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237</v>
      </c>
      <c r="G124" s="41" t="n">
        <f aca="false">_xlfn.RANK.EQ(F124,$F$79:$F$148)</f>
        <v>3</v>
      </c>
      <c r="H124" s="1" t="n">
        <f aca="false">COUNTIF($G$79:$G$148,G124)</f>
        <v>2</v>
      </c>
      <c r="I124" s="1" t="n">
        <f aca="false">COUNTIF($G$79:G124,G124)</f>
        <v>1</v>
      </c>
      <c r="J124" s="1" t="n">
        <f aca="false">G124+I124-1</f>
        <v>3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236</v>
      </c>
      <c r="G125" s="41" t="n">
        <f aca="false">_xlfn.RANK.EQ(F125,$F$79:$F$148)</f>
        <v>5</v>
      </c>
      <c r="H125" s="1" t="n">
        <f aca="false">COUNTIF($G$79:$G$148,G125)</f>
        <v>2</v>
      </c>
      <c r="I125" s="1" t="n">
        <f aca="false">COUNTIF($G$79:G125,G125)</f>
        <v>1</v>
      </c>
      <c r="J125" s="1" t="n">
        <f aca="false">G125+I125-1</f>
        <v>5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236</v>
      </c>
      <c r="G126" s="41" t="n">
        <f aca="false">_xlfn.RANK.EQ(F126,$F$79:$F$148)</f>
        <v>5</v>
      </c>
      <c r="H126" s="1" t="n">
        <f aca="false">COUNTIF($G$79:$G$148,G126)</f>
        <v>2</v>
      </c>
      <c r="I126" s="1" t="n">
        <f aca="false">COUNTIF($G$79:G126,G126)</f>
        <v>2</v>
      </c>
      <c r="J126" s="1" t="n">
        <f aca="false">G126+I126-1</f>
        <v>6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7</v>
      </c>
      <c r="G127" s="41" t="n">
        <f aca="false">_xlfn.RANK.EQ(F127,$F$79:$F$148)</f>
        <v>40</v>
      </c>
      <c r="H127" s="1" t="n">
        <f aca="false">COUNTIF($G$79:$G$148,G127)</f>
        <v>1</v>
      </c>
      <c r="I127" s="1" t="n">
        <f aca="false">COUNTIF($G$79:G127,G127)</f>
        <v>1</v>
      </c>
      <c r="J127" s="1" t="n">
        <f aca="false">G127+I127-1</f>
        <v>40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23</v>
      </c>
      <c r="G128" s="41" t="n">
        <f aca="false">_xlfn.RANK.EQ(F128,$F$79:$F$148)</f>
        <v>36</v>
      </c>
      <c r="H128" s="1" t="n">
        <f aca="false">COUNTIF($G$79:$G$148,G128)</f>
        <v>1</v>
      </c>
      <c r="I128" s="1" t="n">
        <f aca="false">COUNTIF($G$79:G128,G128)</f>
        <v>1</v>
      </c>
      <c r="J128" s="1" t="n">
        <f aca="false">G128+I128-1</f>
        <v>36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8</v>
      </c>
      <c r="G129" s="41" t="n">
        <f aca="false">_xlfn.RANK.EQ(F129,$F$79:$F$148)</f>
        <v>39</v>
      </c>
      <c r="H129" s="1" t="n">
        <f aca="false">COUNTIF($G$79:$G$148,G129)</f>
        <v>1</v>
      </c>
      <c r="I129" s="1" t="n">
        <f aca="false">COUNTIF($G$79:G129,G129)</f>
        <v>1</v>
      </c>
      <c r="J129" s="1" t="n">
        <f aca="false">G129+I129-1</f>
        <v>39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-13</v>
      </c>
      <c r="G130" s="41" t="n">
        <f aca="false">_xlfn.RANK.EQ(F130,$F$79:$F$148)</f>
        <v>67</v>
      </c>
      <c r="H130" s="1" t="n">
        <f aca="false">COUNTIF($G$79:$G$148,G130)</f>
        <v>1</v>
      </c>
      <c r="I130" s="1" t="n">
        <f aca="false">COUNTIF($G$79:G130,G130)</f>
        <v>1</v>
      </c>
      <c r="J130" s="1" t="n">
        <f aca="false">G130+I130-1</f>
        <v>67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-12</v>
      </c>
      <c r="G131" s="41" t="n">
        <f aca="false">_xlfn.RANK.EQ(F131,$F$79:$F$148)</f>
        <v>65</v>
      </c>
      <c r="H131" s="1" t="n">
        <f aca="false">COUNTIF($G$79:$G$148,G131)</f>
        <v>2</v>
      </c>
      <c r="I131" s="1" t="n">
        <f aca="false">COUNTIF($G$79:G131,G131)</f>
        <v>1</v>
      </c>
      <c r="J131" s="1" t="n">
        <f aca="false">G131+I131-1</f>
        <v>65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-12</v>
      </c>
      <c r="G132" s="41" t="n">
        <f aca="false">_xlfn.RANK.EQ(F132,$F$79:$F$148)</f>
        <v>65</v>
      </c>
      <c r="H132" s="1" t="n">
        <f aca="false">COUNTIF($G$79:$G$148,G132)</f>
        <v>2</v>
      </c>
      <c r="I132" s="1" t="n">
        <f aca="false">COUNTIF($G$79:G132,G132)</f>
        <v>2</v>
      </c>
      <c r="J132" s="1" t="n">
        <f aca="false">G132+I132-1</f>
        <v>66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217</v>
      </c>
      <c r="G133" s="41" t="n">
        <f aca="false">_xlfn.RANK.EQ(F133,$F$79:$F$148)</f>
        <v>22</v>
      </c>
      <c r="H133" s="1" t="n">
        <f aca="false">COUNTIF($G$79:$G$148,G133)</f>
        <v>1</v>
      </c>
      <c r="I133" s="1" t="n">
        <f aca="false">COUNTIF($G$79:G133,G133)</f>
        <v>1</v>
      </c>
      <c r="J133" s="1" t="n">
        <f aca="false">G133+I133-1</f>
        <v>22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201</v>
      </c>
      <c r="G134" s="41" t="n">
        <f aca="false">_xlfn.RANK.EQ(F134,$F$79:$F$148)</f>
        <v>33</v>
      </c>
      <c r="H134" s="1" t="n">
        <f aca="false">COUNTIF($G$79:$G$148,G134)</f>
        <v>1</v>
      </c>
      <c r="I134" s="1" t="n">
        <f aca="false">COUNTIF($G$79:G134,G134)</f>
        <v>1</v>
      </c>
      <c r="J134" s="1" t="n">
        <f aca="false">G134+I134-1</f>
        <v>33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216</v>
      </c>
      <c r="G135" s="41" t="n">
        <f aca="false">_xlfn.RANK.EQ(F135,$F$79:$F$148)</f>
        <v>23</v>
      </c>
      <c r="H135" s="1" t="n">
        <f aca="false">COUNTIF($G$79:$G$148,G135)</f>
        <v>5</v>
      </c>
      <c r="I135" s="1" t="n">
        <f aca="false">COUNTIF($G$79:G135,G135)</f>
        <v>5</v>
      </c>
      <c r="J135" s="1" t="n">
        <f aca="false">G135+I135-1</f>
        <v>27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237</v>
      </c>
      <c r="G136" s="41" t="n">
        <f aca="false">_xlfn.RANK.EQ(F136,$F$79:$F$148)</f>
        <v>3</v>
      </c>
      <c r="H136" s="1" t="n">
        <f aca="false">COUNTIF($G$79:$G$148,G136)</f>
        <v>2</v>
      </c>
      <c r="I136" s="1" t="n">
        <f aca="false">COUNTIF($G$79:G136,G136)</f>
        <v>2</v>
      </c>
      <c r="J136" s="1" t="n">
        <f aca="false">G136+I136-1</f>
        <v>4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239</v>
      </c>
      <c r="G137" s="41" t="n">
        <f aca="false">_xlfn.RANK.EQ(F137,$F$79:$F$148)</f>
        <v>1</v>
      </c>
      <c r="H137" s="1" t="n">
        <f aca="false">COUNTIF($G$79:$G$148,G137)</f>
        <v>2</v>
      </c>
      <c r="I137" s="1" t="n">
        <f aca="false">COUNTIF($G$79:G137,G137)</f>
        <v>1</v>
      </c>
      <c r="J137" s="1" t="n">
        <f aca="false">G137+I137-1</f>
        <v>1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239</v>
      </c>
      <c r="G138" s="41" t="n">
        <f aca="false">_xlfn.RANK.EQ(F138,$F$79:$F$148)</f>
        <v>1</v>
      </c>
      <c r="H138" s="1" t="n">
        <f aca="false">COUNTIF($G$79:$G$148,G138)</f>
        <v>2</v>
      </c>
      <c r="I138" s="1" t="n">
        <f aca="false">COUNTIF($G$79:G138,G138)</f>
        <v>2</v>
      </c>
      <c r="J138" s="1" t="n">
        <f aca="false">G138+I138-1</f>
        <v>2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10</v>
      </c>
      <c r="G139" s="41" t="n">
        <f aca="false">_xlfn.RANK.EQ(F139,$F$79:$F$148)</f>
        <v>38</v>
      </c>
      <c r="H139" s="1" t="n">
        <f aca="false">COUNTIF($G$79:$G$148,G139)</f>
        <v>1</v>
      </c>
      <c r="I139" s="1" t="n">
        <f aca="false">COUNTIF($G$79:G139,G139)</f>
        <v>1</v>
      </c>
      <c r="J139" s="1" t="n">
        <f aca="false">G139+I139-1</f>
        <v>38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26</v>
      </c>
      <c r="G140" s="41" t="n">
        <f aca="false">_xlfn.RANK.EQ(F140,$F$79:$F$148)</f>
        <v>35</v>
      </c>
      <c r="H140" s="1" t="n">
        <f aca="false">COUNTIF($G$79:$G$148,G140)</f>
        <v>1</v>
      </c>
      <c r="I140" s="1" t="n">
        <f aca="false">COUNTIF($G$79:G140,G140)</f>
        <v>1</v>
      </c>
      <c r="J140" s="1" t="n">
        <f aca="false">G140+I140-1</f>
        <v>35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11</v>
      </c>
      <c r="G141" s="41" t="n">
        <f aca="false">_xlfn.RANK.EQ(F141,$F$79:$F$148)</f>
        <v>37</v>
      </c>
      <c r="H141" s="1" t="n">
        <f aca="false">COUNTIF($G$79:$G$148,G141)</f>
        <v>1</v>
      </c>
      <c r="I141" s="1" t="n">
        <f aca="false">COUNTIF($G$79:G141,G141)</f>
        <v>1</v>
      </c>
      <c r="J141" s="1" t="n">
        <f aca="false">G141+I141-1</f>
        <v>37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-10</v>
      </c>
      <c r="G142" s="41" t="n">
        <f aca="false">_xlfn.RANK.EQ(F142,$F$79:$F$148)</f>
        <v>64</v>
      </c>
      <c r="H142" s="1" t="n">
        <f aca="false">COUNTIF($G$79:$G$148,G142)</f>
        <v>1</v>
      </c>
      <c r="I142" s="1" t="n">
        <f aca="false">COUNTIF($G$79:G142,G142)</f>
        <v>1</v>
      </c>
      <c r="J142" s="1" t="n">
        <f aca="false">G142+I142-1</f>
        <v>64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-16</v>
      </c>
      <c r="G143" s="41" t="n">
        <f aca="false">_xlfn.RANK.EQ(F143,$F$79:$F$148)</f>
        <v>69</v>
      </c>
      <c r="H143" s="1" t="n">
        <f aca="false">COUNTIF($G$79:$G$148,G143)</f>
        <v>2</v>
      </c>
      <c r="I143" s="1" t="n">
        <f aca="false">COUNTIF($G$79:G143,G143)</f>
        <v>1</v>
      </c>
      <c r="J143" s="1" t="n">
        <f aca="false">G143+I143-1</f>
        <v>69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-16</v>
      </c>
      <c r="G144" s="41" t="n">
        <f aca="false">_xlfn.RANK.EQ(F144,$F$79:$F$148)</f>
        <v>69</v>
      </c>
      <c r="H144" s="1" t="n">
        <f aca="false">COUNTIF($G$79:$G$148,G144)</f>
        <v>2</v>
      </c>
      <c r="I144" s="1" t="n">
        <f aca="false">COUNTIF($G$79:G144,G144)</f>
        <v>2</v>
      </c>
      <c r="J144" s="1" t="n">
        <f aca="false">G144+I144-1</f>
        <v>70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str">
        <f aca="false">Calc!C304</f>
        <v>France</v>
      </c>
      <c r="F145" s="33" t="n">
        <f aca="false">Calc!F304</f>
        <v>213</v>
      </c>
      <c r="G145" s="41" t="n">
        <f aca="false">_xlfn.RANK.EQ(F145,$F$79:$F$148)</f>
        <v>30</v>
      </c>
      <c r="H145" s="1" t="n">
        <f aca="false">COUNTIF($G$79:$G$148,G145)</f>
        <v>2</v>
      </c>
      <c r="I145" s="1" t="n">
        <f aca="false">COUNTIF($G$79:G145,G145)</f>
        <v>2</v>
      </c>
      <c r="J145" s="1" t="n">
        <f aca="false">G145+I145-1</f>
        <v>31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str">
        <f aca="false">Calc!C305</f>
        <v>Germany</v>
      </c>
      <c r="F146" s="33" t="n">
        <f aca="false">Calc!F305</f>
        <v>197</v>
      </c>
      <c r="G146" s="41" t="n">
        <f aca="false">_xlfn.RANK.EQ(F146,$F$79:$F$148)</f>
        <v>34</v>
      </c>
      <c r="H146" s="1" t="n">
        <f aca="false">COUNTIF($G$79:$G$148,G146)</f>
        <v>1</v>
      </c>
      <c r="I146" s="1" t="n">
        <f aca="false">COUNTIF($G$79:G146,G146)</f>
        <v>1</v>
      </c>
      <c r="J146" s="1" t="n">
        <f aca="false">G146+I146-1</f>
        <v>34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str">
        <f aca="false">Calc!C306</f>
        <v>Brazil</v>
      </c>
      <c r="F147" s="33" t="n">
        <f aca="false">Calc!F306</f>
        <v>212</v>
      </c>
      <c r="G147" s="41" t="n">
        <f aca="false">_xlfn.RANK.EQ(F147,$F$79:$F$148)</f>
        <v>32</v>
      </c>
      <c r="H147" s="1" t="n">
        <f aca="false">COUNTIF($G$79:$G$148,G147)</f>
        <v>1</v>
      </c>
      <c r="I147" s="1" t="n">
        <f aca="false">COUNTIF($G$79:G147,G147)</f>
        <v>1</v>
      </c>
      <c r="J147" s="1" t="n">
        <f aca="false">G147+I147-1</f>
        <v>32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str">
        <f aca="false">Calc!C307</f>
        <v>Senegal</v>
      </c>
      <c r="F148" s="33" t="n">
        <f aca="false">Calc!F307</f>
        <v>233</v>
      </c>
      <c r="G148" s="41" t="n">
        <f aca="false">_xlfn.RANK.EQ(F148,$F$79:$F$148)</f>
        <v>7</v>
      </c>
      <c r="H148" s="1" t="n">
        <f aca="false">COUNTIF($G$79:$G$148,G148)</f>
        <v>1</v>
      </c>
      <c r="I148" s="1" t="n">
        <f aca="false">COUNTIF($G$79:G148,G148)</f>
        <v>1</v>
      </c>
      <c r="J148" s="1" t="n">
        <f aca="false">G148+I148-1</f>
        <v>7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str">
        <f aca="false">LEFT(J5,3)</f>
        <v>001</v>
      </c>
      <c r="L3" s="9"/>
      <c r="M3" s="44"/>
      <c r="N3" s="44"/>
      <c r="O3" s="45" t="str">
        <f aca="false">LEFT(O5,3)</f>
        <v>002</v>
      </c>
      <c r="Q3" s="9"/>
      <c r="R3" s="44"/>
      <c r="S3" s="44"/>
      <c r="T3" s="45" t="str">
        <f aca="false">LEFT(T5,3)</f>
        <v>003</v>
      </c>
      <c r="V3" s="9"/>
      <c r="W3" s="44"/>
      <c r="X3" s="44"/>
      <c r="Y3" s="45" t="str">
        <f aca="false">LEFT(Y5,3)</f>
        <v>004</v>
      </c>
      <c r="AA3" s="9"/>
      <c r="AB3" s="44"/>
      <c r="AC3" s="44"/>
      <c r="AD3" s="45" t="str">
        <f aca="false">LEFT(AD5,3)</f>
        <v>005</v>
      </c>
      <c r="AF3" s="9"/>
      <c r="AG3" s="44"/>
      <c r="AH3" s="44"/>
      <c r="AI3" s="45" t="str">
        <f aca="false">LEFT(AI5,3)</f>
        <v>006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str">
        <f aca="false">MID(J5,5,31)</f>
        <v>MikiZiso3</v>
      </c>
      <c r="L4" s="9"/>
      <c r="M4" s="44"/>
      <c r="N4" s="44"/>
      <c r="O4" s="45" t="str">
        <f aca="false">MID(O5,5,31)</f>
        <v>MikiZiso2</v>
      </c>
      <c r="Q4" s="9"/>
      <c r="R4" s="44"/>
      <c r="S4" s="44"/>
      <c r="T4" s="45" t="str">
        <f aca="false">MID(T5,5,31)</f>
        <v>Miki_Ziso</v>
      </c>
      <c r="V4" s="9"/>
      <c r="W4" s="44"/>
      <c r="X4" s="44"/>
      <c r="Y4" s="45" t="str">
        <f aca="false">MID(Y5,5,31)</f>
        <v>Nir1</v>
      </c>
      <c r="AA4" s="9"/>
      <c r="AB4" s="44"/>
      <c r="AC4" s="44"/>
      <c r="AD4" s="45" t="str">
        <f aca="false">MID(AD5,5,31)</f>
        <v>Nir2</v>
      </c>
      <c r="AF4" s="9"/>
      <c r="AG4" s="44"/>
      <c r="AH4" s="44"/>
      <c r="AI4" s="45" t="str">
        <f aca="false">MID(AI5,5,31)</f>
        <v>Nir3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str">
        <f aca="true" t="array" ref="J5:J5">_xlfn.TEXTAFTER(CELL("filename",'001_MikiZiso3'!A1),"]")</f>
        <v>001_MikiZiso3</v>
      </c>
      <c r="L5" s="9"/>
      <c r="M5" s="44"/>
      <c r="N5" s="44"/>
      <c r="O5" s="44" t="str">
        <f aca="true" t="array" ref="O5:O5">_xlfn.TEXTAFTER(CELL("filename",'002_MikiZiso2'!G1),"]")</f>
        <v>002_MikiZiso2</v>
      </c>
      <c r="Q5" s="9"/>
      <c r="R5" s="44"/>
      <c r="S5" s="44"/>
      <c r="T5" s="44" t="str">
        <f aca="true" t="array" ref="T5:T5">_xlfn.TEXTAFTER(CELL("filename",'003_Miki_Ziso'!A1),"]")</f>
        <v>003_Miki_Ziso</v>
      </c>
      <c r="V5" s="9"/>
      <c r="W5" s="44"/>
      <c r="X5" s="44"/>
      <c r="Y5" s="44" t="str">
        <f aca="true" t="array" ref="Y5:Y5">_xlfn.TEXTAFTER(CELL("filename",'004_Nir1'!A1),"]")</f>
        <v>004_Nir1</v>
      </c>
      <c r="AA5" s="9"/>
      <c r="AB5" s="44"/>
      <c r="AC5" s="44"/>
      <c r="AD5" s="44" t="str">
        <f aca="true" t="array" ref="AD5:AD5">_xlfn.TEXTAFTER(CELL("filename",'005_Nir2'!A1),"]")</f>
        <v>005_Nir2</v>
      </c>
      <c r="AF5" s="9"/>
      <c r="AG5" s="44"/>
      <c r="AH5" s="44"/>
      <c r="AI5" s="44" t="str">
        <f aca="true" t="array" ref="AI5:AI5">_xlfn.TEXTAFTER(CELL("filename",'006_Nir3'!A1),"]")</f>
        <v>006_Nir3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Summary!L4</f>
        <v>0</v>
      </c>
      <c r="D21" s="52" t="n">
        <f aca="false">Summary!M4</f>
        <v>0</v>
      </c>
      <c r="E21" s="14" t="str">
        <f aca="false">IF(OR(D21="",C21=""),"",IF(C21&gt;D21,"I",IF(C21=D21,"X","II")))</f>
        <v/>
      </c>
      <c r="F21" s="6"/>
      <c r="G21" s="53" t="n">
        <f aca="false">'001_MikiZiso3'!$F7</f>
        <v>1</v>
      </c>
      <c r="H21" s="53" t="n">
        <f aca="false">'001_MikiZiso3'!$G7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'002_MikiZiso2'!$F7</f>
        <v>1</v>
      </c>
      <c r="M21" s="53" t="n">
        <f aca="false">'002_MikiZiso2'!$G7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'003_Miki_Ziso'!$F7</f>
        <v>1</v>
      </c>
      <c r="R21" s="53" t="n">
        <f aca="false">'003_Miki_Ziso'!$G7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'004_Nir1'!$F7</f>
        <v>1</v>
      </c>
      <c r="W21" s="53" t="n">
        <f aca="false">'004_Nir1'!$G7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'005_Nir2'!$F7</f>
        <v>0</v>
      </c>
      <c r="AB21" s="53" t="n">
        <f aca="false">'005_Nir2'!$G7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'006_Nir3'!$F7</f>
        <v>2</v>
      </c>
      <c r="AG21" s="53" t="n">
        <f aca="false">'006_Nir3'!$G7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Summary!L5</f>
        <v>0</v>
      </c>
      <c r="D22" s="52" t="n">
        <f aca="false">Summary!M5</f>
        <v>0</v>
      </c>
      <c r="E22" s="14" t="str">
        <f aca="false">IF(OR(D22="",C22=""),"",IF(C22&gt;D22,"I",IF(C22=D22,"X","II")))</f>
        <v/>
      </c>
      <c r="F22" s="6"/>
      <c r="G22" s="53" t="n">
        <f aca="false">'001_MikiZiso3'!$F8</f>
        <v>2</v>
      </c>
      <c r="H22" s="53" t="n">
        <f aca="false">'001_MikiZiso3'!$G8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'002_MikiZiso2'!$F8</f>
        <v>0</v>
      </c>
      <c r="M22" s="53" t="n">
        <f aca="false">'002_MikiZiso2'!$G8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'003_Miki_Ziso'!$F8</f>
        <v>0</v>
      </c>
      <c r="R22" s="53" t="n">
        <f aca="false">'003_Miki_Ziso'!$G8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'004_Nir1'!$F8</f>
        <v>0</v>
      </c>
      <c r="W22" s="53" t="n">
        <f aca="false">'004_Nir1'!$G8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'005_Nir2'!$F8</f>
        <v>0</v>
      </c>
      <c r="AB22" s="53" t="n">
        <f aca="false">'005_Nir2'!$G8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'006_Nir3'!$F8</f>
        <v>2</v>
      </c>
      <c r="AG22" s="53" t="n">
        <f aca="false">'006_Nir3'!$G8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Summary!L6</f>
        <v>0</v>
      </c>
      <c r="D23" s="52" t="n">
        <f aca="false">Summary!M6</f>
        <v>0</v>
      </c>
      <c r="E23" s="14" t="str">
        <f aca="false">IF(OR(D23="",C23=""),"",IF(C23&gt;D23,"I",IF(C23=D23,"X","II")))</f>
        <v/>
      </c>
      <c r="F23" s="6"/>
      <c r="G23" s="53" t="n">
        <f aca="false">'001_MikiZiso3'!$F9</f>
        <v>2</v>
      </c>
      <c r="H23" s="53" t="n">
        <f aca="false">'001_MikiZiso3'!$G9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'002_MikiZiso2'!$F9</f>
        <v>2</v>
      </c>
      <c r="M23" s="53" t="n">
        <f aca="false">'002_MikiZiso2'!$G9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'003_Miki_Ziso'!$F9</f>
        <v>2</v>
      </c>
      <c r="R23" s="53" t="n">
        <f aca="false">'003_Miki_Ziso'!$G9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'004_Nir1'!$F9</f>
        <v>0</v>
      </c>
      <c r="W23" s="53" t="n">
        <f aca="false">'004_Nir1'!$G9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'005_Nir2'!$F9</f>
        <v>0</v>
      </c>
      <c r="AB23" s="53" t="n">
        <f aca="false">'005_Nir2'!$G9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'006_Nir3'!$F9</f>
        <v>2</v>
      </c>
      <c r="AG23" s="53" t="n">
        <f aca="false">'006_Nir3'!$G9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n">
        <f aca="false">Summary!L7</f>
        <v>0</v>
      </c>
      <c r="D24" s="52" t="n">
        <f aca="false">Summary!M7</f>
        <v>0</v>
      </c>
      <c r="E24" s="14" t="str">
        <f aca="false">IF(OR(D24="",C24=""),"",IF(C24&gt;D24,"I",IF(C24=D24,"X","II")))</f>
        <v/>
      </c>
      <c r="F24" s="6"/>
      <c r="G24" s="53" t="n">
        <f aca="false">'001_MikiZiso3'!$F10</f>
        <v>2</v>
      </c>
      <c r="H24" s="53" t="n">
        <f aca="false">'001_MikiZiso3'!$G10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'002_MikiZiso2'!$F10</f>
        <v>2</v>
      </c>
      <c r="M24" s="53" t="n">
        <f aca="false">'002_MikiZiso2'!$G10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'003_Miki_Ziso'!$F10</f>
        <v>0</v>
      </c>
      <c r="R24" s="53" t="n">
        <f aca="false">'003_Miki_Ziso'!$G10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'004_Nir1'!$F10</f>
        <v>0</v>
      </c>
      <c r="W24" s="53" t="n">
        <f aca="false">'004_Nir1'!$G10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'005_Nir2'!$F10</f>
        <v>2</v>
      </c>
      <c r="AB24" s="53" t="n">
        <f aca="false">'005_Nir2'!$G10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'006_Nir3'!$F10</f>
        <v>2</v>
      </c>
      <c r="AG24" s="53" t="n">
        <f aca="false">'006_Nir3'!$G10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n">
        <f aca="false">Summary!L8</f>
        <v>0</v>
      </c>
      <c r="D25" s="52" t="n">
        <f aca="false">Summary!M8</f>
        <v>0</v>
      </c>
      <c r="E25" s="14" t="str">
        <f aca="false">IF(OR(D25="",C25=""),"",IF(C25&gt;D25,"I",IF(C25=D25,"X","II")))</f>
        <v/>
      </c>
      <c r="F25" s="6"/>
      <c r="G25" s="53" t="n">
        <f aca="false">'001_MikiZiso3'!$F11</f>
        <v>0</v>
      </c>
      <c r="H25" s="53" t="n">
        <f aca="false">'001_MikiZiso3'!$G11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'002_MikiZiso2'!$F11</f>
        <v>0</v>
      </c>
      <c r="M25" s="53" t="n">
        <f aca="false">'002_MikiZiso2'!$G11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'003_Miki_Ziso'!$F11</f>
        <v>0</v>
      </c>
      <c r="R25" s="53" t="n">
        <f aca="false">'003_Miki_Ziso'!$G11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'004_Nir1'!$F11</f>
        <v>0</v>
      </c>
      <c r="W25" s="53" t="n">
        <f aca="false">'004_Nir1'!$G11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'005_Nir2'!$F11</f>
        <v>1</v>
      </c>
      <c r="AB25" s="53" t="n">
        <f aca="false">'005_Nir2'!$G11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'006_Nir3'!$F11</f>
        <v>1</v>
      </c>
      <c r="AG25" s="53" t="n">
        <f aca="false">'006_Nir3'!$G11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n">
        <f aca="false">Summary!L9</f>
        <v>0</v>
      </c>
      <c r="D26" s="52" t="n">
        <f aca="false">Summary!M9</f>
        <v>0</v>
      </c>
      <c r="E26" s="14" t="str">
        <f aca="false">IF(OR(D26="",C26=""),"",IF(C26&gt;D26,"I",IF(C26=D26,"X","II")))</f>
        <v/>
      </c>
      <c r="F26" s="6"/>
      <c r="G26" s="53" t="n">
        <f aca="false">'001_MikiZiso3'!$F12</f>
        <v>0</v>
      </c>
      <c r="H26" s="53" t="n">
        <f aca="false">'001_MikiZiso3'!$G12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'002_MikiZiso2'!$F12</f>
        <v>0</v>
      </c>
      <c r="M26" s="53" t="n">
        <f aca="false">'002_MikiZiso2'!$G12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'003_Miki_Ziso'!$F12</f>
        <v>0</v>
      </c>
      <c r="R26" s="53" t="n">
        <f aca="false">'003_Miki_Ziso'!$G12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'004_Nir1'!$F12</f>
        <v>1</v>
      </c>
      <c r="W26" s="53" t="n">
        <f aca="false">'004_Nir1'!$G12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'005_Nir2'!$F12</f>
        <v>3</v>
      </c>
      <c r="AB26" s="53" t="n">
        <f aca="false">'005_Nir2'!$G12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'006_Nir3'!$F12</f>
        <v>1</v>
      </c>
      <c r="AG26" s="53" t="n">
        <f aca="false">'006_Nir3'!$G12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n">
        <f aca="false">Summary!L10</f>
        <v>0</v>
      </c>
      <c r="D27" s="52" t="n">
        <f aca="false">Summary!M10</f>
        <v>0</v>
      </c>
      <c r="E27" s="14" t="str">
        <f aca="false">IF(OR(D27="",C27=""),"",IF(C27&gt;D27,"I",IF(C27=D27,"X","II")))</f>
        <v/>
      </c>
      <c r="F27" s="6"/>
      <c r="G27" s="53" t="n">
        <f aca="false">'001_MikiZiso3'!$F13</f>
        <v>2</v>
      </c>
      <c r="H27" s="53" t="n">
        <f aca="false">'001_MikiZiso3'!$G13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'002_MikiZiso2'!$F13</f>
        <v>0</v>
      </c>
      <c r="M27" s="53" t="n">
        <f aca="false">'002_MikiZiso2'!$G13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'003_Miki_Ziso'!$F13</f>
        <v>0</v>
      </c>
      <c r="R27" s="53" t="n">
        <f aca="false">'003_Miki_Ziso'!$G13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'004_Nir1'!$F13</f>
        <v>2</v>
      </c>
      <c r="W27" s="53" t="n">
        <f aca="false">'004_Nir1'!$G13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'005_Nir2'!$F13</f>
        <v>4</v>
      </c>
      <c r="AB27" s="53" t="n">
        <f aca="false">'005_Nir2'!$G13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'006_Nir3'!$F13</f>
        <v>1</v>
      </c>
      <c r="AG27" s="53" t="n">
        <f aca="false">'006_Nir3'!$G13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n">
        <f aca="false">Summary!L11</f>
        <v>0</v>
      </c>
      <c r="D28" s="52" t="n">
        <f aca="false">Summary!M11</f>
        <v>0</v>
      </c>
      <c r="E28" s="14" t="str">
        <f aca="false">IF(OR(D28="",C28=""),"",IF(C28&gt;D28,"I",IF(C28=D28,"X","II")))</f>
        <v/>
      </c>
      <c r="F28" s="6"/>
      <c r="G28" s="53" t="n">
        <f aca="false">'001_MikiZiso3'!$F14</f>
        <v>0</v>
      </c>
      <c r="H28" s="53" t="n">
        <f aca="false">'001_MikiZiso3'!$G14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'002_MikiZiso2'!$F14</f>
        <v>0</v>
      </c>
      <c r="M28" s="53" t="n">
        <f aca="false">'002_MikiZiso2'!$G14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'003_Miki_Ziso'!$F14</f>
        <v>0</v>
      </c>
      <c r="R28" s="53" t="n">
        <f aca="false">'003_Miki_Ziso'!$G14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'004_Nir1'!$F14</f>
        <v>1</v>
      </c>
      <c r="W28" s="53" t="n">
        <f aca="false">'004_Nir1'!$G14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'005_Nir2'!$F14</f>
        <v>5</v>
      </c>
      <c r="AB28" s="53" t="n">
        <f aca="false">'005_Nir2'!$G14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'006_Nir3'!$F14</f>
        <v>2</v>
      </c>
      <c r="AG28" s="53" t="n">
        <f aca="false">'006_Nir3'!$G14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n">
        <f aca="false">Summary!L12</f>
        <v>0</v>
      </c>
      <c r="D29" s="52" t="n">
        <f aca="false">Summary!M12</f>
        <v>0</v>
      </c>
      <c r="E29" s="14" t="str">
        <f aca="false">IF(OR(D29="",C29=""),"",IF(C29&gt;D29,"I",IF(C29=D29,"X","II")))</f>
        <v/>
      </c>
      <c r="F29" s="6"/>
      <c r="G29" s="53" t="n">
        <f aca="false">'001_MikiZiso3'!$F15</f>
        <v>3</v>
      </c>
      <c r="H29" s="53" t="n">
        <f aca="false">'001_MikiZiso3'!$G15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'002_MikiZiso2'!$F15</f>
        <v>3</v>
      </c>
      <c r="M29" s="53" t="n">
        <f aca="false">'002_MikiZiso2'!$G15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'003_Miki_Ziso'!$F15</f>
        <v>2</v>
      </c>
      <c r="R29" s="53" t="n">
        <f aca="false">'003_Miki_Ziso'!$G15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'004_Nir1'!$F15</f>
        <v>3</v>
      </c>
      <c r="W29" s="53" t="n">
        <f aca="false">'004_Nir1'!$G15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'005_Nir2'!$F15</f>
        <v>3</v>
      </c>
      <c r="AB29" s="53" t="n">
        <f aca="false">'005_Nir2'!$G15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'006_Nir3'!$F15</f>
        <v>3</v>
      </c>
      <c r="AG29" s="53" t="n">
        <f aca="false">'006_Nir3'!$G15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n">
        <f aca="false">Summary!L13</f>
        <v>0</v>
      </c>
      <c r="D30" s="52" t="n">
        <f aca="false">Summary!M13</f>
        <v>0</v>
      </c>
      <c r="E30" s="14" t="str">
        <f aca="false">IF(OR(D30="",C30=""),"",IF(C30&gt;D30,"I",IF(C30=D30,"X","II")))</f>
        <v/>
      </c>
      <c r="F30" s="6"/>
      <c r="G30" s="53" t="n">
        <f aca="false">'001_MikiZiso3'!$F16</f>
        <v>5</v>
      </c>
      <c r="H30" s="53" t="n">
        <f aca="false">'001_MikiZiso3'!$G16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'002_MikiZiso2'!$F16</f>
        <v>5</v>
      </c>
      <c r="M30" s="53" t="n">
        <f aca="false">'002_MikiZiso2'!$G16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'003_Miki_Ziso'!$F16</f>
        <v>5</v>
      </c>
      <c r="R30" s="53" t="n">
        <f aca="false">'003_Miki_Ziso'!$G16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'004_Nir1'!$F16</f>
        <v>2</v>
      </c>
      <c r="W30" s="53" t="n">
        <f aca="false">'004_Nir1'!$G16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'005_Nir2'!$F16</f>
        <v>2</v>
      </c>
      <c r="AB30" s="53" t="n">
        <f aca="false">'005_Nir2'!$G16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'006_Nir3'!$F16</f>
        <v>0</v>
      </c>
      <c r="AG30" s="53" t="n">
        <f aca="false">'006_Nir3'!$G16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n">
        <f aca="false">Summary!L14</f>
        <v>0</v>
      </c>
      <c r="D31" s="52" t="n">
        <f aca="false">Summary!M14</f>
        <v>0</v>
      </c>
      <c r="E31" s="14" t="str">
        <f aca="false">IF(OR(D31="",C31=""),"",IF(C31&gt;D31,"I",IF(C31=D31,"X","II")))</f>
        <v/>
      </c>
      <c r="F31" s="6"/>
      <c r="G31" s="53" t="n">
        <f aca="false">'001_MikiZiso3'!$F17</f>
        <v>0</v>
      </c>
      <c r="H31" s="53" t="n">
        <f aca="false">'001_MikiZiso3'!$G17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'002_MikiZiso2'!$F17</f>
        <v>0</v>
      </c>
      <c r="M31" s="53" t="n">
        <f aca="false">'002_MikiZiso2'!$G17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'003_Miki_Ziso'!$F17</f>
        <v>0</v>
      </c>
      <c r="R31" s="53" t="n">
        <f aca="false">'003_Miki_Ziso'!$G17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'004_Nir1'!$F17</f>
        <v>1</v>
      </c>
      <c r="W31" s="53" t="n">
        <f aca="false">'004_Nir1'!$G17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'005_Nir2'!$F17</f>
        <v>1</v>
      </c>
      <c r="AB31" s="53" t="n">
        <f aca="false">'005_Nir2'!$G17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'006_Nir3'!$F17</f>
        <v>0</v>
      </c>
      <c r="AG31" s="53" t="n">
        <f aca="false">'006_Nir3'!$G17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n">
        <f aca="false">Summary!L15</f>
        <v>0</v>
      </c>
      <c r="D32" s="52" t="n">
        <f aca="false">Summary!M15</f>
        <v>0</v>
      </c>
      <c r="E32" s="14" t="str">
        <f aca="false">IF(OR(D32="",C32=""),"",IF(C32&gt;D32,"I",IF(C32=D32,"X","II")))</f>
        <v/>
      </c>
      <c r="F32" s="6"/>
      <c r="G32" s="53" t="n">
        <f aca="false">'001_MikiZiso3'!$F18</f>
        <v>2</v>
      </c>
      <c r="H32" s="53" t="n">
        <f aca="false">'001_MikiZiso3'!$G18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'002_MikiZiso2'!$F18</f>
        <v>2</v>
      </c>
      <c r="M32" s="53" t="n">
        <f aca="false">'002_MikiZiso2'!$G18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'003_Miki_Ziso'!$F18</f>
        <v>2</v>
      </c>
      <c r="R32" s="53" t="n">
        <f aca="false">'003_Miki_Ziso'!$G18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'004_Nir1'!$F18</f>
        <v>3</v>
      </c>
      <c r="W32" s="53" t="n">
        <f aca="false">'004_Nir1'!$G18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'005_Nir2'!$F18</f>
        <v>0</v>
      </c>
      <c r="AB32" s="53" t="n">
        <f aca="false">'005_Nir2'!$G18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'006_Nir3'!$F18</f>
        <v>0</v>
      </c>
      <c r="AG32" s="53" t="n">
        <f aca="false">'006_Nir3'!$G18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n">
        <f aca="false">Summary!L16</f>
        <v>0</v>
      </c>
      <c r="D33" s="52" t="n">
        <f aca="false">Summary!M16</f>
        <v>0</v>
      </c>
      <c r="E33" s="14" t="str">
        <f aca="false">IF(OR(D33="",C33=""),"",IF(C33&gt;D33,"I",IF(C33=D33,"X","II")))</f>
        <v/>
      </c>
      <c r="F33" s="6"/>
      <c r="G33" s="53" t="n">
        <f aca="false">'001_MikiZiso3'!$F19</f>
        <v>0</v>
      </c>
      <c r="H33" s="53" t="n">
        <f aca="false">'001_MikiZiso3'!$G19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'002_MikiZiso2'!$F19</f>
        <v>0</v>
      </c>
      <c r="M33" s="53" t="n">
        <f aca="false">'002_MikiZiso2'!$G19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'003_Miki_Ziso'!$F19</f>
        <v>0</v>
      </c>
      <c r="R33" s="53" t="n">
        <f aca="false">'003_Miki_Ziso'!$G19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'004_Nir1'!$F19</f>
        <v>0</v>
      </c>
      <c r="W33" s="53" t="n">
        <f aca="false">'004_Nir1'!$G19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'005_Nir2'!$F19</f>
        <v>0</v>
      </c>
      <c r="AB33" s="53" t="n">
        <f aca="false">'005_Nir2'!$G19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'006_Nir3'!$F19</f>
        <v>0</v>
      </c>
      <c r="AG33" s="53" t="n">
        <f aca="false">'006_Nir3'!$G19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n">
        <f aca="false">Summary!L17</f>
        <v>0</v>
      </c>
      <c r="D34" s="52" t="n">
        <f aca="false">Summary!M17</f>
        <v>0</v>
      </c>
      <c r="E34" s="14" t="str">
        <f aca="false">IF(OR(D34="",C34=""),"",IF(C34&gt;D34,"I",IF(C34=D34,"X","II")))</f>
        <v/>
      </c>
      <c r="F34" s="6"/>
      <c r="G34" s="53" t="n">
        <f aca="false">'001_MikiZiso3'!$F20</f>
        <v>1</v>
      </c>
      <c r="H34" s="53" t="n">
        <f aca="false">'001_MikiZiso3'!$G20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'002_MikiZiso2'!$F20</f>
        <v>1</v>
      </c>
      <c r="M34" s="53" t="n">
        <f aca="false">'002_MikiZiso2'!$G20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'003_Miki_Ziso'!$F20</f>
        <v>1</v>
      </c>
      <c r="R34" s="53" t="n">
        <f aca="false">'003_Miki_Ziso'!$G20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'004_Nir1'!$F20</f>
        <v>1</v>
      </c>
      <c r="W34" s="53" t="n">
        <f aca="false">'004_Nir1'!$G20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'005_Nir2'!$F20</f>
        <v>0</v>
      </c>
      <c r="AB34" s="53" t="n">
        <f aca="false">'005_Nir2'!$G20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'006_Nir3'!$F20</f>
        <v>0</v>
      </c>
      <c r="AG34" s="53" t="n">
        <f aca="false">'006_Nir3'!$G20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n">
        <f aca="false">Summary!L18</f>
        <v>0</v>
      </c>
      <c r="D35" s="52" t="n">
        <f aca="false">Summary!M18</f>
        <v>0</v>
      </c>
      <c r="E35" s="14" t="str">
        <f aca="false">IF(OR(D35="",C35=""),"",IF(C35&gt;D35,"I",IF(C35=D35,"X","II")))</f>
        <v/>
      </c>
      <c r="F35" s="6"/>
      <c r="G35" s="53" t="n">
        <f aca="false">'001_MikiZiso3'!$F21</f>
        <v>0</v>
      </c>
      <c r="H35" s="53" t="n">
        <f aca="false">'001_MikiZiso3'!$G21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'002_MikiZiso2'!$F21</f>
        <v>0</v>
      </c>
      <c r="M35" s="53" t="n">
        <f aca="false">'002_MikiZiso2'!$G21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'003_Miki_Ziso'!$F21</f>
        <v>0</v>
      </c>
      <c r="R35" s="53" t="n">
        <f aca="false">'003_Miki_Ziso'!$G21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'004_Nir1'!$F21</f>
        <v>2</v>
      </c>
      <c r="W35" s="53" t="n">
        <f aca="false">'004_Nir1'!$G21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'005_Nir2'!$F21</f>
        <v>3</v>
      </c>
      <c r="AB35" s="53" t="n">
        <f aca="false">'005_Nir2'!$G21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'006_Nir3'!$F21</f>
        <v>1</v>
      </c>
      <c r="AG35" s="53" t="n">
        <f aca="false">'006_Nir3'!$G21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n">
        <f aca="false">Summary!L19</f>
        <v>0</v>
      </c>
      <c r="D36" s="52" t="n">
        <f aca="false">Summary!M19</f>
        <v>0</v>
      </c>
      <c r="E36" s="14" t="str">
        <f aca="false">IF(OR(D36="",C36=""),"",IF(C36&gt;D36,"I",IF(C36=D36,"X","II")))</f>
        <v/>
      </c>
      <c r="F36" s="6"/>
      <c r="G36" s="53" t="n">
        <f aca="false">'001_MikiZiso3'!$F22</f>
        <v>2</v>
      </c>
      <c r="H36" s="53" t="n">
        <f aca="false">'001_MikiZiso3'!$G22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'002_MikiZiso2'!$F22</f>
        <v>2</v>
      </c>
      <c r="M36" s="53" t="n">
        <f aca="false">'002_MikiZiso2'!$G22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'003_Miki_Ziso'!$F22</f>
        <v>2</v>
      </c>
      <c r="R36" s="53" t="n">
        <f aca="false">'003_Miki_Ziso'!$G22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'004_Nir1'!$F22</f>
        <v>1</v>
      </c>
      <c r="W36" s="53" t="n">
        <f aca="false">'004_Nir1'!$G22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'005_Nir2'!$F22</f>
        <v>0</v>
      </c>
      <c r="AB36" s="53" t="n">
        <f aca="false">'005_Nir2'!$G22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'006_Nir3'!$F22</f>
        <v>0</v>
      </c>
      <c r="AG36" s="53" t="n">
        <f aca="false">'006_Nir3'!$G22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n">
        <f aca="false">Summary!L20</f>
        <v>0</v>
      </c>
      <c r="D37" s="52" t="n">
        <f aca="false">Summary!M20</f>
        <v>0</v>
      </c>
      <c r="E37" s="14" t="str">
        <f aca="false">IF(OR(D37="",C37=""),"",IF(C37&gt;D37,"I",IF(C37=D37,"X","II")))</f>
        <v/>
      </c>
      <c r="F37" s="6"/>
      <c r="G37" s="53" t="n">
        <f aca="false">'001_MikiZiso3'!$F23</f>
        <v>2</v>
      </c>
      <c r="H37" s="53" t="n">
        <f aca="false">'001_MikiZiso3'!$G23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'002_MikiZiso2'!$F23</f>
        <v>2</v>
      </c>
      <c r="M37" s="53" t="n">
        <f aca="false">'002_MikiZiso2'!$G23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'003_Miki_Ziso'!$F23</f>
        <v>0</v>
      </c>
      <c r="R37" s="53" t="n">
        <f aca="false">'003_Miki_Ziso'!$G23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'004_Nir1'!$F23</f>
        <v>0</v>
      </c>
      <c r="W37" s="53" t="n">
        <f aca="false">'004_Nir1'!$G23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'005_Nir2'!$F23</f>
        <v>0</v>
      </c>
      <c r="AB37" s="53" t="n">
        <f aca="false">'005_Nir2'!$G23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'006_Nir3'!$F23</f>
        <v>1</v>
      </c>
      <c r="AG37" s="53" t="n">
        <f aca="false">'006_Nir3'!$G23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n">
        <f aca="false">Summary!L21</f>
        <v>0</v>
      </c>
      <c r="D38" s="52" t="n">
        <f aca="false">Summary!M21</f>
        <v>0</v>
      </c>
      <c r="E38" s="14" t="str">
        <f aca="false">IF(OR(D38="",C38=""),"",IF(C38&gt;D38,"I",IF(C38=D38,"X","II")))</f>
        <v/>
      </c>
      <c r="F38" s="6"/>
      <c r="G38" s="53" t="n">
        <f aca="false">'001_MikiZiso3'!$F24</f>
        <v>0</v>
      </c>
      <c r="H38" s="53" t="n">
        <f aca="false">'001_MikiZiso3'!$G24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'002_MikiZiso2'!$F24</f>
        <v>0</v>
      </c>
      <c r="M38" s="53" t="n">
        <f aca="false">'002_MikiZiso2'!$G24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'003_Miki_Ziso'!$F24</f>
        <v>0</v>
      </c>
      <c r="R38" s="53" t="n">
        <f aca="false">'003_Miki_Ziso'!$G24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'004_Nir1'!$F24</f>
        <v>0</v>
      </c>
      <c r="W38" s="53" t="n">
        <f aca="false">'004_Nir1'!$G24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'005_Nir2'!$F24</f>
        <v>0</v>
      </c>
      <c r="AB38" s="53" t="n">
        <f aca="false">'005_Nir2'!$G24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'006_Nir3'!$F24</f>
        <v>2</v>
      </c>
      <c r="AG38" s="53" t="n">
        <f aca="false">'006_Nir3'!$G24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n">
        <f aca="false">Summary!L22</f>
        <v>0</v>
      </c>
      <c r="D39" s="52" t="n">
        <f aca="false">Summary!M22</f>
        <v>0</v>
      </c>
      <c r="E39" s="14" t="str">
        <f aca="false">IF(OR(D39="",C39=""),"",IF(C39&gt;D39,"I",IF(C39=D39,"X","II")))</f>
        <v/>
      </c>
      <c r="F39" s="6"/>
      <c r="G39" s="53" t="n">
        <f aca="false">'001_MikiZiso3'!$F25</f>
        <v>2</v>
      </c>
      <c r="H39" s="53" t="n">
        <f aca="false">'001_MikiZiso3'!$G25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'002_MikiZiso2'!$F25</f>
        <v>2</v>
      </c>
      <c r="M39" s="53" t="n">
        <f aca="false">'002_MikiZiso2'!$G25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'003_Miki_Ziso'!$F25</f>
        <v>2</v>
      </c>
      <c r="R39" s="53" t="n">
        <f aca="false">'003_Miki_Ziso'!$G25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'004_Nir1'!$F25</f>
        <v>0</v>
      </c>
      <c r="W39" s="53" t="n">
        <f aca="false">'004_Nir1'!$G25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'005_Nir2'!$F25</f>
        <v>1</v>
      </c>
      <c r="AB39" s="53" t="n">
        <f aca="false">'005_Nir2'!$G25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'006_Nir3'!$F25</f>
        <v>0</v>
      </c>
      <c r="AG39" s="53" t="n">
        <f aca="false">'006_Nir3'!$G25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n">
        <f aca="false">Summary!L23</f>
        <v>0</v>
      </c>
      <c r="D40" s="52" t="n">
        <f aca="false">Summary!M23</f>
        <v>0</v>
      </c>
      <c r="E40" s="14" t="str">
        <f aca="false">IF(OR(D40="",C40=""),"",IF(C40&gt;D40,"I",IF(C40=D40,"X","II")))</f>
        <v/>
      </c>
      <c r="F40" s="6"/>
      <c r="G40" s="53" t="n">
        <f aca="false">'001_MikiZiso3'!$F26</f>
        <v>1</v>
      </c>
      <c r="H40" s="53" t="n">
        <f aca="false">'001_MikiZiso3'!$G26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'002_MikiZiso2'!$F26</f>
        <v>1</v>
      </c>
      <c r="M40" s="53" t="n">
        <f aca="false">'002_MikiZiso2'!$G26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'003_Miki_Ziso'!$F26</f>
        <v>1</v>
      </c>
      <c r="R40" s="53" t="n">
        <f aca="false">'003_Miki_Ziso'!$G26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'004_Nir1'!$F26</f>
        <v>3</v>
      </c>
      <c r="W40" s="53" t="n">
        <f aca="false">'004_Nir1'!$G26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'005_Nir2'!$F26</f>
        <v>1</v>
      </c>
      <c r="AB40" s="53" t="n">
        <f aca="false">'005_Nir2'!$G26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'006_Nir3'!$F26</f>
        <v>3</v>
      </c>
      <c r="AG40" s="53" t="n">
        <f aca="false">'006_Nir3'!$G26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n">
        <f aca="false">Summary!L24</f>
        <v>0</v>
      </c>
      <c r="D41" s="52" t="n">
        <f aca="false">Summary!M24</f>
        <v>0</v>
      </c>
      <c r="E41" s="14" t="str">
        <f aca="false">IF(OR(D41="",C41=""),"",IF(C41&gt;D41,"I",IF(C41=D41,"X","II")))</f>
        <v/>
      </c>
      <c r="F41" s="6"/>
      <c r="G41" s="53" t="n">
        <f aca="false">'001_MikiZiso3'!$F27</f>
        <v>1</v>
      </c>
      <c r="H41" s="53" t="n">
        <f aca="false">'001_MikiZiso3'!$G27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'002_MikiZiso2'!$F27</f>
        <v>1</v>
      </c>
      <c r="M41" s="53" t="n">
        <f aca="false">'002_MikiZiso2'!$G27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'003_Miki_Ziso'!$F27</f>
        <v>1</v>
      </c>
      <c r="R41" s="53" t="n">
        <f aca="false">'003_Miki_Ziso'!$G27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'004_Nir1'!$F27</f>
        <v>3</v>
      </c>
      <c r="W41" s="53" t="n">
        <f aca="false">'004_Nir1'!$G27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'005_Nir2'!$F27</f>
        <v>1</v>
      </c>
      <c r="AB41" s="53" t="n">
        <f aca="false">'005_Nir2'!$G27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'006_Nir3'!$F27</f>
        <v>2</v>
      </c>
      <c r="AG41" s="53" t="n">
        <f aca="false">'006_Nir3'!$G27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n">
        <f aca="false">Summary!L25</f>
        <v>0</v>
      </c>
      <c r="D42" s="52" t="n">
        <f aca="false">Summary!M25</f>
        <v>0</v>
      </c>
      <c r="E42" s="14" t="str">
        <f aca="false">IF(OR(D42="",C42=""),"",IF(C42&gt;D42,"I",IF(C42=D42,"X","II")))</f>
        <v/>
      </c>
      <c r="F42" s="6"/>
      <c r="G42" s="53" t="n">
        <f aca="false">'001_MikiZiso3'!$F28</f>
        <v>2</v>
      </c>
      <c r="H42" s="53" t="n">
        <f aca="false">'001_MikiZiso3'!$G28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'002_MikiZiso2'!$F28</f>
        <v>2</v>
      </c>
      <c r="M42" s="53" t="n">
        <f aca="false">'002_MikiZiso2'!$G28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'003_Miki_Ziso'!$F28</f>
        <v>1</v>
      </c>
      <c r="R42" s="53" t="n">
        <f aca="false">'003_Miki_Ziso'!$G28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'004_Nir1'!$F28</f>
        <v>3</v>
      </c>
      <c r="W42" s="53" t="n">
        <f aca="false">'004_Nir1'!$G28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'005_Nir2'!$F28</f>
        <v>1</v>
      </c>
      <c r="AB42" s="53" t="n">
        <f aca="false">'005_Nir2'!$G28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'006_Nir3'!$F28</f>
        <v>1</v>
      </c>
      <c r="AG42" s="53" t="n">
        <f aca="false">'006_Nir3'!$G28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n">
        <f aca="false">Summary!L26</f>
        <v>0</v>
      </c>
      <c r="D43" s="52" t="n">
        <f aca="false">Summary!M26</f>
        <v>0</v>
      </c>
      <c r="E43" s="14" t="str">
        <f aca="false">IF(OR(D43="",C43=""),"",IF(C43&gt;D43,"I",IF(C43=D43,"X","II")))</f>
        <v/>
      </c>
      <c r="F43" s="6"/>
      <c r="G43" s="53" t="n">
        <f aca="false">'001_MikiZiso3'!$F29</f>
        <v>6</v>
      </c>
      <c r="H43" s="53" t="n">
        <f aca="false">'001_MikiZiso3'!$G29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'002_MikiZiso2'!$F29</f>
        <v>6</v>
      </c>
      <c r="M43" s="53" t="n">
        <f aca="false">'002_MikiZiso2'!$G29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'003_Miki_Ziso'!$F29</f>
        <v>0</v>
      </c>
      <c r="R43" s="53" t="n">
        <f aca="false">'003_Miki_Ziso'!$G29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'004_Nir1'!$F29</f>
        <v>2</v>
      </c>
      <c r="W43" s="53" t="n">
        <f aca="false">'004_Nir1'!$G29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'005_Nir2'!$F29</f>
        <v>2</v>
      </c>
      <c r="AB43" s="53" t="n">
        <f aca="false">'005_Nir2'!$G29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'006_Nir3'!$F29</f>
        <v>4</v>
      </c>
      <c r="AG43" s="53" t="n">
        <f aca="false">'006_Nir3'!$G29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n">
        <f aca="false">Summary!L27</f>
        <v>0</v>
      </c>
      <c r="D44" s="52" t="n">
        <f aca="false">Summary!M27</f>
        <v>0</v>
      </c>
      <c r="E44" s="14" t="str">
        <f aca="false">IF(OR(D44="",C44=""),"",IF(C44&gt;D44,"I",IF(C44=D44,"X","II")))</f>
        <v/>
      </c>
      <c r="F44" s="6"/>
      <c r="G44" s="53" t="n">
        <f aca="false">'001_MikiZiso3'!$F30</f>
        <v>1</v>
      </c>
      <c r="H44" s="53" t="n">
        <f aca="false">'001_MikiZiso3'!$G30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'002_MikiZiso2'!$F30</f>
        <v>1</v>
      </c>
      <c r="M44" s="53" t="n">
        <f aca="false">'002_MikiZiso2'!$G30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'003_Miki_Ziso'!$F30</f>
        <v>1</v>
      </c>
      <c r="R44" s="53" t="n">
        <f aca="false">'003_Miki_Ziso'!$G30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'004_Nir1'!$F30</f>
        <v>2</v>
      </c>
      <c r="W44" s="53" t="n">
        <f aca="false">'004_Nir1'!$G30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'005_Nir2'!$F30</f>
        <v>3</v>
      </c>
      <c r="AB44" s="53" t="n">
        <f aca="false">'005_Nir2'!$G30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'006_Nir3'!$F30</f>
        <v>5</v>
      </c>
      <c r="AG44" s="53" t="n">
        <f aca="false">'006_Nir3'!$G30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n">
        <f aca="false">Summary!L28</f>
        <v>0</v>
      </c>
      <c r="D45" s="52" t="n">
        <f aca="false">Summary!M28</f>
        <v>0</v>
      </c>
      <c r="E45" s="14" t="str">
        <f aca="false">IF(OR(D45="",C45=""),"",IF(C45&gt;D45,"I",IF(C45=D45,"X","II")))</f>
        <v/>
      </c>
      <c r="F45" s="6"/>
      <c r="G45" s="53" t="n">
        <f aca="false">'001_MikiZiso3'!$F31</f>
        <v>1</v>
      </c>
      <c r="H45" s="53" t="n">
        <f aca="false">'001_MikiZiso3'!$G31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'002_MikiZiso2'!$F31</f>
        <v>1</v>
      </c>
      <c r="M45" s="53" t="n">
        <f aca="false">'002_MikiZiso2'!$G31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'003_Miki_Ziso'!$F31</f>
        <v>1</v>
      </c>
      <c r="R45" s="53" t="n">
        <f aca="false">'003_Miki_Ziso'!$G31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'004_Nir1'!$F31</f>
        <v>2</v>
      </c>
      <c r="W45" s="53" t="n">
        <f aca="false">'004_Nir1'!$G31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'005_Nir2'!$F31</f>
        <v>2</v>
      </c>
      <c r="AB45" s="53" t="n">
        <f aca="false">'005_Nir2'!$G31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'006_Nir3'!$F31</f>
        <v>0</v>
      </c>
      <c r="AG45" s="53" t="n">
        <f aca="false">'006_Nir3'!$G31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n">
        <f aca="false">Summary!L29</f>
        <v>0</v>
      </c>
      <c r="D46" s="52" t="n">
        <f aca="false">Summary!M29</f>
        <v>0</v>
      </c>
      <c r="E46" s="14" t="str">
        <f aca="false">IF(OR(D46="",C46=""),"",IF(C46&gt;D46,"I",IF(C46=D46,"X","II")))</f>
        <v/>
      </c>
      <c r="F46" s="6"/>
      <c r="G46" s="53" t="n">
        <f aca="false">'001_MikiZiso3'!$F32</f>
        <v>2</v>
      </c>
      <c r="H46" s="53" t="n">
        <f aca="false">'001_MikiZiso3'!$G32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'002_MikiZiso2'!$F32</f>
        <v>2</v>
      </c>
      <c r="M46" s="53" t="n">
        <f aca="false">'002_MikiZiso2'!$G32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'003_Miki_Ziso'!$F32</f>
        <v>2</v>
      </c>
      <c r="R46" s="53" t="n">
        <f aca="false">'003_Miki_Ziso'!$G32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'004_Nir1'!$F32</f>
        <v>1</v>
      </c>
      <c r="W46" s="53" t="n">
        <f aca="false">'004_Nir1'!$G32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'005_Nir2'!$F32</f>
        <v>1</v>
      </c>
      <c r="AB46" s="53" t="n">
        <f aca="false">'005_Nir2'!$G32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'006_Nir3'!$F32</f>
        <v>1</v>
      </c>
      <c r="AG46" s="53" t="n">
        <f aca="false">'006_Nir3'!$G32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n">
        <f aca="false">Summary!L30</f>
        <v>0</v>
      </c>
      <c r="D47" s="52" t="n">
        <f aca="false">Summary!M30</f>
        <v>0</v>
      </c>
      <c r="E47" s="14" t="str">
        <f aca="false">IF(OR(D47="",C47=""),"",IF(C47&gt;D47,"I",IF(C47=D47,"X","II")))</f>
        <v/>
      </c>
      <c r="F47" s="6"/>
      <c r="G47" s="53" t="n">
        <f aca="false">'001_MikiZiso3'!$F33</f>
        <v>2</v>
      </c>
      <c r="H47" s="53" t="n">
        <f aca="false">'001_MikiZiso3'!$G33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'002_MikiZiso2'!$F33</f>
        <v>2</v>
      </c>
      <c r="M47" s="53" t="n">
        <f aca="false">'002_MikiZiso2'!$G33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'003_Miki_Ziso'!$F33</f>
        <v>2</v>
      </c>
      <c r="R47" s="53" t="n">
        <f aca="false">'003_Miki_Ziso'!$G33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'004_Nir1'!$F33</f>
        <v>0</v>
      </c>
      <c r="W47" s="53" t="n">
        <f aca="false">'004_Nir1'!$G33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'005_Nir2'!$F33</f>
        <v>4</v>
      </c>
      <c r="AB47" s="53" t="n">
        <f aca="false">'005_Nir2'!$G33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'006_Nir3'!$F33</f>
        <v>2</v>
      </c>
      <c r="AG47" s="53" t="n">
        <f aca="false">'006_Nir3'!$G33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n">
        <f aca="false">Summary!L31</f>
        <v>0</v>
      </c>
      <c r="D48" s="52" t="n">
        <f aca="false">Summary!M31</f>
        <v>0</v>
      </c>
      <c r="E48" s="14" t="str">
        <f aca="false">IF(OR(D48="",C48=""),"",IF(C48&gt;D48,"I",IF(C48=D48,"X","II")))</f>
        <v/>
      </c>
      <c r="F48" s="6"/>
      <c r="G48" s="53" t="n">
        <f aca="false">'001_MikiZiso3'!$F34</f>
        <v>1</v>
      </c>
      <c r="H48" s="53" t="n">
        <f aca="false">'001_MikiZiso3'!$G34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'002_MikiZiso2'!$F34</f>
        <v>1</v>
      </c>
      <c r="M48" s="53" t="n">
        <f aca="false">'002_MikiZiso2'!$G34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'003_Miki_Ziso'!$F34</f>
        <v>1</v>
      </c>
      <c r="R48" s="53" t="n">
        <f aca="false">'003_Miki_Ziso'!$G34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'004_Nir1'!$F34</f>
        <v>0</v>
      </c>
      <c r="W48" s="53" t="n">
        <f aca="false">'004_Nir1'!$G34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'005_Nir2'!$F34</f>
        <v>0</v>
      </c>
      <c r="AB48" s="53" t="n">
        <f aca="false">'005_Nir2'!$G34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'006_Nir3'!$F34</f>
        <v>3</v>
      </c>
      <c r="AG48" s="53" t="n">
        <f aca="false">'006_Nir3'!$G34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n">
        <f aca="false">Summary!L32</f>
        <v>0</v>
      </c>
      <c r="D49" s="52" t="n">
        <f aca="false">Summary!M32</f>
        <v>0</v>
      </c>
      <c r="E49" s="14" t="str">
        <f aca="false">IF(OR(D49="",C49=""),"",IF(C49&gt;D49,"I",IF(C49=D49,"X","II")))</f>
        <v/>
      </c>
      <c r="F49" s="6"/>
      <c r="G49" s="53" t="n">
        <f aca="false">'001_MikiZiso3'!$F35</f>
        <v>5</v>
      </c>
      <c r="H49" s="53" t="n">
        <f aca="false">'001_MikiZiso3'!$G35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'002_MikiZiso2'!$F35</f>
        <v>5</v>
      </c>
      <c r="M49" s="53" t="n">
        <f aca="false">'002_MikiZiso2'!$G35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'003_Miki_Ziso'!$F35</f>
        <v>1</v>
      </c>
      <c r="R49" s="53" t="n">
        <f aca="false">'003_Miki_Ziso'!$G35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'004_Nir1'!$F35</f>
        <v>0</v>
      </c>
      <c r="W49" s="53" t="n">
        <f aca="false">'004_Nir1'!$G35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'005_Nir2'!$F35</f>
        <v>0</v>
      </c>
      <c r="AB49" s="53" t="n">
        <f aca="false">'005_Nir2'!$G35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'006_Nir3'!$F35</f>
        <v>0</v>
      </c>
      <c r="AG49" s="53" t="n">
        <f aca="false">'006_Nir3'!$G35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n">
        <f aca="false">Summary!L33</f>
        <v>0</v>
      </c>
      <c r="D50" s="52" t="n">
        <f aca="false">Summary!M33</f>
        <v>0</v>
      </c>
      <c r="E50" s="14" t="str">
        <f aca="false">IF(OR(D50="",C50=""),"",IF(C50&gt;D50,"I",IF(C50=D50,"X","II")))</f>
        <v/>
      </c>
      <c r="F50" s="6"/>
      <c r="G50" s="53" t="n">
        <f aca="false">'001_MikiZiso3'!$F36</f>
        <v>1</v>
      </c>
      <c r="H50" s="53" t="n">
        <f aca="false">'001_MikiZiso3'!$G36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'002_MikiZiso2'!$F36</f>
        <v>1</v>
      </c>
      <c r="M50" s="53" t="n">
        <f aca="false">'002_MikiZiso2'!$G36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'003_Miki_Ziso'!$F36</f>
        <v>1</v>
      </c>
      <c r="R50" s="53" t="n">
        <f aca="false">'003_Miki_Ziso'!$G36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'004_Nir1'!$F36</f>
        <v>0</v>
      </c>
      <c r="W50" s="53" t="n">
        <f aca="false">'004_Nir1'!$G36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'005_Nir2'!$F36</f>
        <v>0</v>
      </c>
      <c r="AB50" s="53" t="n">
        <f aca="false">'005_Nir2'!$G36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'006_Nir3'!$F36</f>
        <v>1</v>
      </c>
      <c r="AG50" s="53" t="n">
        <f aca="false">'006_Nir3'!$G36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n">
        <f aca="false">Summary!L34</f>
        <v>0</v>
      </c>
      <c r="D51" s="52" t="n">
        <f aca="false">Summary!M34</f>
        <v>0</v>
      </c>
      <c r="E51" s="14" t="str">
        <f aca="false">IF(OR(D51="",C51=""),"",IF(C51&gt;D51,"I",IF(C51=D51,"X","II")))</f>
        <v/>
      </c>
      <c r="F51" s="6"/>
      <c r="G51" s="53" t="n">
        <f aca="false">'001_MikiZiso3'!$F37</f>
        <v>2</v>
      </c>
      <c r="H51" s="53" t="n">
        <f aca="false">'001_MikiZiso3'!$G37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'002_MikiZiso2'!$F37</f>
        <v>2</v>
      </c>
      <c r="M51" s="53" t="n">
        <f aca="false">'002_MikiZiso2'!$G37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'003_Miki_Ziso'!$F37</f>
        <v>2</v>
      </c>
      <c r="R51" s="53" t="n">
        <f aca="false">'003_Miki_Ziso'!$G37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'004_Nir1'!$F37</f>
        <v>1</v>
      </c>
      <c r="W51" s="53" t="n">
        <f aca="false">'004_Nir1'!$G37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'005_Nir2'!$F37</f>
        <v>1</v>
      </c>
      <c r="AB51" s="53" t="n">
        <f aca="false">'005_Nir2'!$G37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'006_Nir3'!$F37</f>
        <v>0</v>
      </c>
      <c r="AG51" s="53" t="n">
        <f aca="false">'006_Nir3'!$G37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n">
        <f aca="false">Summary!L35</f>
        <v>0</v>
      </c>
      <c r="D52" s="52" t="n">
        <f aca="false">Summary!M35</f>
        <v>0</v>
      </c>
      <c r="E52" s="14" t="str">
        <f aca="false">IF(OR(D52="",C52=""),"",IF(C52&gt;D52,"I",IF(C52=D52,"X","II")))</f>
        <v/>
      </c>
      <c r="F52" s="6"/>
      <c r="G52" s="53" t="n">
        <f aca="false">'001_MikiZiso3'!$F38</f>
        <v>2</v>
      </c>
      <c r="H52" s="53" t="n">
        <f aca="false">'001_MikiZiso3'!$G38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'002_MikiZiso2'!$F38</f>
        <v>2</v>
      </c>
      <c r="M52" s="53" t="n">
        <f aca="false">'002_MikiZiso2'!$G38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'003_Miki_Ziso'!$F38</f>
        <v>2</v>
      </c>
      <c r="R52" s="53" t="n">
        <f aca="false">'003_Miki_Ziso'!$G38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'004_Nir1'!$F38</f>
        <v>1</v>
      </c>
      <c r="W52" s="53" t="n">
        <f aca="false">'004_Nir1'!$G38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'005_Nir2'!$F38</f>
        <v>1</v>
      </c>
      <c r="AB52" s="53" t="n">
        <f aca="false">'005_Nir2'!$G38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'006_Nir3'!$F38</f>
        <v>2</v>
      </c>
      <c r="AG52" s="53" t="n">
        <f aca="false">'006_Nir3'!$G38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n">
        <f aca="false">Summary!L36</f>
        <v>0</v>
      </c>
      <c r="D53" s="52" t="n">
        <f aca="false">Summary!M36</f>
        <v>0</v>
      </c>
      <c r="E53" s="14" t="str">
        <f aca="false">IF(OR(D53="",C53=""),"",IF(C53&gt;D53,"I",IF(C53=D53,"X","II")))</f>
        <v/>
      </c>
      <c r="F53" s="6"/>
      <c r="G53" s="53" t="n">
        <f aca="false">'001_MikiZiso3'!$F39</f>
        <v>2</v>
      </c>
      <c r="H53" s="53" t="n">
        <f aca="false">'001_MikiZiso3'!$G39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'002_MikiZiso2'!$F39</f>
        <v>2</v>
      </c>
      <c r="M53" s="53" t="n">
        <f aca="false">'002_MikiZiso2'!$G39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'003_Miki_Ziso'!$F39</f>
        <v>2</v>
      </c>
      <c r="R53" s="53" t="n">
        <f aca="false">'003_Miki_Ziso'!$G39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'004_Nir1'!$F39</f>
        <v>2</v>
      </c>
      <c r="W53" s="53" t="n">
        <f aca="false">'004_Nir1'!$G39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'005_Nir2'!$F39</f>
        <v>2</v>
      </c>
      <c r="AB53" s="53" t="n">
        <f aca="false">'005_Nir2'!$G39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'006_Nir3'!$F39</f>
        <v>3</v>
      </c>
      <c r="AG53" s="53" t="n">
        <f aca="false">'006_Nir3'!$G39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n">
        <f aca="false">Summary!L37</f>
        <v>0</v>
      </c>
      <c r="D54" s="52" t="n">
        <f aca="false">Summary!M37</f>
        <v>0</v>
      </c>
      <c r="E54" s="14" t="str">
        <f aca="false">IF(OR(D54="",C54=""),"",IF(C54&gt;D54,"I",IF(C54=D54,"X","II")))</f>
        <v/>
      </c>
      <c r="F54" s="6"/>
      <c r="G54" s="53" t="n">
        <f aca="false">'001_MikiZiso3'!$F40</f>
        <v>0</v>
      </c>
      <c r="H54" s="53" t="n">
        <f aca="false">'001_MikiZiso3'!$G40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'002_MikiZiso2'!$F40</f>
        <v>0</v>
      </c>
      <c r="M54" s="53" t="n">
        <f aca="false">'002_MikiZiso2'!$G40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'003_Miki_Ziso'!$F40</f>
        <v>0</v>
      </c>
      <c r="R54" s="53" t="n">
        <f aca="false">'003_Miki_Ziso'!$G40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'004_Nir1'!$F40</f>
        <v>3</v>
      </c>
      <c r="W54" s="53" t="n">
        <f aca="false">'004_Nir1'!$G40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'005_Nir2'!$F40</f>
        <v>1</v>
      </c>
      <c r="AB54" s="53" t="n">
        <f aca="false">'005_Nir2'!$G40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'006_Nir3'!$F40</f>
        <v>1</v>
      </c>
      <c r="AG54" s="53" t="n">
        <f aca="false">'006_Nir3'!$G40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n">
        <f aca="false">Summary!L38</f>
        <v>0</v>
      </c>
      <c r="D55" s="52" t="n">
        <f aca="false">Summary!M38</f>
        <v>0</v>
      </c>
      <c r="E55" s="14" t="str">
        <f aca="false">IF(OR(D55="",C55=""),"",IF(C55&gt;D55,"I",IF(C55=D55,"X","II")))</f>
        <v/>
      </c>
      <c r="F55" s="6"/>
      <c r="G55" s="53" t="n">
        <f aca="false">'001_MikiZiso3'!$F41</f>
        <v>2</v>
      </c>
      <c r="H55" s="53" t="n">
        <f aca="false">'001_MikiZiso3'!$G41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'002_MikiZiso2'!$F41</f>
        <v>2</v>
      </c>
      <c r="M55" s="53" t="n">
        <f aca="false">'002_MikiZiso2'!$G41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'003_Miki_Ziso'!$F41</f>
        <v>2</v>
      </c>
      <c r="R55" s="53" t="n">
        <f aca="false">'003_Miki_Ziso'!$G41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'004_Nir1'!$F41</f>
        <v>0</v>
      </c>
      <c r="W55" s="53" t="n">
        <f aca="false">'004_Nir1'!$G41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'005_Nir2'!$F41</f>
        <v>3</v>
      </c>
      <c r="AB55" s="53" t="n">
        <f aca="false">'005_Nir2'!$G41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'006_Nir3'!$F41</f>
        <v>0</v>
      </c>
      <c r="AG55" s="53" t="n">
        <f aca="false">'006_Nir3'!$G41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n">
        <f aca="false">Summary!L39</f>
        <v>0</v>
      </c>
      <c r="D56" s="52" t="n">
        <f aca="false">Summary!M39</f>
        <v>0</v>
      </c>
      <c r="E56" s="14" t="str">
        <f aca="false">IF(OR(D56="",C56=""),"",IF(C56&gt;D56,"I",IF(C56=D56,"X","II")))</f>
        <v/>
      </c>
      <c r="F56" s="6"/>
      <c r="G56" s="53" t="n">
        <f aca="false">'001_MikiZiso3'!$F42</f>
        <v>0</v>
      </c>
      <c r="H56" s="53" t="n">
        <f aca="false">'001_MikiZiso3'!$G42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'002_MikiZiso2'!$F42</f>
        <v>0</v>
      </c>
      <c r="M56" s="53" t="n">
        <f aca="false">'002_MikiZiso2'!$G42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'003_Miki_Ziso'!$F42</f>
        <v>0</v>
      </c>
      <c r="R56" s="53" t="n">
        <f aca="false">'003_Miki_Ziso'!$G42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'004_Nir1'!$F42</f>
        <v>0</v>
      </c>
      <c r="W56" s="53" t="n">
        <f aca="false">'004_Nir1'!$G42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'005_Nir2'!$F42</f>
        <v>0</v>
      </c>
      <c r="AB56" s="53" t="n">
        <f aca="false">'005_Nir2'!$G42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'006_Nir3'!$F42</f>
        <v>1</v>
      </c>
      <c r="AG56" s="53" t="n">
        <f aca="false">'006_Nir3'!$G42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n">
        <f aca="false">Summary!L40</f>
        <v>0</v>
      </c>
      <c r="D57" s="52" t="n">
        <f aca="false">Summary!M40</f>
        <v>0</v>
      </c>
      <c r="E57" s="14" t="str">
        <f aca="false">IF(OR(D57="",C57=""),"",IF(C57&gt;D57,"I",IF(C57=D57,"X","II")))</f>
        <v/>
      </c>
      <c r="F57" s="6"/>
      <c r="G57" s="53" t="n">
        <f aca="false">'001_MikiZiso3'!$F43</f>
        <v>1</v>
      </c>
      <c r="H57" s="53" t="n">
        <f aca="false">'001_MikiZiso3'!$G43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'002_MikiZiso2'!$F43</f>
        <v>1</v>
      </c>
      <c r="M57" s="53" t="n">
        <f aca="false">'002_MikiZiso2'!$G43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'003_Miki_Ziso'!$F43</f>
        <v>0</v>
      </c>
      <c r="R57" s="53" t="n">
        <f aca="false">'003_Miki_Ziso'!$G43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'004_Nir1'!$F43</f>
        <v>0</v>
      </c>
      <c r="W57" s="53" t="n">
        <f aca="false">'004_Nir1'!$G43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'005_Nir2'!$F43</f>
        <v>1</v>
      </c>
      <c r="AB57" s="53" t="n">
        <f aca="false">'005_Nir2'!$G43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'006_Nir3'!$F43</f>
        <v>0</v>
      </c>
      <c r="AG57" s="53" t="n">
        <f aca="false">'006_Nir3'!$G43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n">
        <f aca="false">Summary!L41</f>
        <v>0</v>
      </c>
      <c r="D58" s="52" t="n">
        <f aca="false">Summary!M41</f>
        <v>0</v>
      </c>
      <c r="E58" s="14" t="str">
        <f aca="false">IF(OR(D58="",C58=""),"",IF(C58&gt;D58,"I",IF(C58=D58,"X","II")))</f>
        <v/>
      </c>
      <c r="F58" s="6"/>
      <c r="G58" s="53" t="n">
        <f aca="false">'001_MikiZiso3'!$F44</f>
        <v>1</v>
      </c>
      <c r="H58" s="53" t="n">
        <f aca="false">'001_MikiZiso3'!$G44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'002_MikiZiso2'!$F44</f>
        <v>1</v>
      </c>
      <c r="M58" s="53" t="n">
        <f aca="false">'002_MikiZiso2'!$G44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'003_Miki_Ziso'!$F44</f>
        <v>1</v>
      </c>
      <c r="R58" s="53" t="n">
        <f aca="false">'003_Miki_Ziso'!$G44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'004_Nir1'!$F44</f>
        <v>1</v>
      </c>
      <c r="W58" s="53" t="n">
        <f aca="false">'004_Nir1'!$G44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'005_Nir2'!$F44</f>
        <v>2</v>
      </c>
      <c r="AB58" s="53" t="n">
        <f aca="false">'005_Nir2'!$G44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'006_Nir3'!$F44</f>
        <v>1</v>
      </c>
      <c r="AG58" s="53" t="n">
        <f aca="false">'006_Nir3'!$G44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n">
        <f aca="false">Summary!L42</f>
        <v>0</v>
      </c>
      <c r="D59" s="52" t="n">
        <f aca="false">Summary!M42</f>
        <v>0</v>
      </c>
      <c r="E59" s="14" t="str">
        <f aca="false">IF(OR(D59="",C59=""),"",IF(C59&gt;D59,"I",IF(C59=D59,"X","II")))</f>
        <v/>
      </c>
      <c r="F59" s="6"/>
      <c r="G59" s="53" t="n">
        <f aca="false">'001_MikiZiso3'!$F45</f>
        <v>2</v>
      </c>
      <c r="H59" s="53" t="n">
        <f aca="false">'001_MikiZiso3'!$G45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'002_MikiZiso2'!$F45</f>
        <v>2</v>
      </c>
      <c r="M59" s="53" t="n">
        <f aca="false">'002_MikiZiso2'!$G45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'003_Miki_Ziso'!$F45</f>
        <v>2</v>
      </c>
      <c r="R59" s="53" t="n">
        <f aca="false">'003_Miki_Ziso'!$G45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'004_Nir1'!$F45</f>
        <v>1</v>
      </c>
      <c r="W59" s="53" t="n">
        <f aca="false">'004_Nir1'!$G45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'005_Nir2'!$F45</f>
        <v>3</v>
      </c>
      <c r="AB59" s="53" t="n">
        <f aca="false">'005_Nir2'!$G45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'006_Nir3'!$F45</f>
        <v>0</v>
      </c>
      <c r="AG59" s="53" t="n">
        <f aca="false">'006_Nir3'!$G45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n">
        <f aca="false">Summary!L43</f>
        <v>0</v>
      </c>
      <c r="D60" s="52" t="n">
        <f aca="false">Summary!M43</f>
        <v>0</v>
      </c>
      <c r="E60" s="14" t="str">
        <f aca="false">IF(OR(D60="",C60=""),"",IF(C60&gt;D60,"I",IF(C60=D60,"X","II")))</f>
        <v/>
      </c>
      <c r="F60" s="6"/>
      <c r="G60" s="53" t="n">
        <f aca="false">'001_MikiZiso3'!$F46</f>
        <v>0</v>
      </c>
      <c r="H60" s="53" t="n">
        <f aca="false">'001_MikiZiso3'!$G46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'002_MikiZiso2'!$F46</f>
        <v>0</v>
      </c>
      <c r="M60" s="53" t="n">
        <f aca="false">'002_MikiZiso2'!$G46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'003_Miki_Ziso'!$F46</f>
        <v>0</v>
      </c>
      <c r="R60" s="53" t="n">
        <f aca="false">'003_Miki_Ziso'!$G46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'004_Nir1'!$F46</f>
        <v>1</v>
      </c>
      <c r="W60" s="53" t="n">
        <f aca="false">'004_Nir1'!$G46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'005_Nir2'!$F46</f>
        <v>4</v>
      </c>
      <c r="AB60" s="53" t="n">
        <f aca="false">'005_Nir2'!$G46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'006_Nir3'!$F46</f>
        <v>2</v>
      </c>
      <c r="AG60" s="53" t="n">
        <f aca="false">'006_Nir3'!$G46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n">
        <f aca="false">Summary!L44</f>
        <v>0</v>
      </c>
      <c r="D61" s="52" t="n">
        <f aca="false">Summary!M44</f>
        <v>0</v>
      </c>
      <c r="E61" s="14" t="str">
        <f aca="false">IF(OR(D61="",C61=""),"",IF(C61&gt;D61,"I",IF(C61=D61,"X","II")))</f>
        <v/>
      </c>
      <c r="F61" s="6"/>
      <c r="G61" s="53" t="n">
        <f aca="false">'001_MikiZiso3'!$F47</f>
        <v>1</v>
      </c>
      <c r="H61" s="53" t="n">
        <f aca="false">'001_MikiZiso3'!$G47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'002_MikiZiso2'!$F47</f>
        <v>1</v>
      </c>
      <c r="M61" s="53" t="n">
        <f aca="false">'002_MikiZiso2'!$G47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'003_Miki_Ziso'!$F47</f>
        <v>1</v>
      </c>
      <c r="R61" s="53" t="n">
        <f aca="false">'003_Miki_Ziso'!$G47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'004_Nir1'!$F47</f>
        <v>2</v>
      </c>
      <c r="W61" s="53" t="n">
        <f aca="false">'004_Nir1'!$G47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'005_Nir2'!$F47</f>
        <v>0</v>
      </c>
      <c r="AB61" s="53" t="n">
        <f aca="false">'005_Nir2'!$G47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'006_Nir3'!$F47</f>
        <v>3</v>
      </c>
      <c r="AG61" s="53" t="n">
        <f aca="false">'006_Nir3'!$G47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n">
        <f aca="false">Summary!L45</f>
        <v>0</v>
      </c>
      <c r="D62" s="52" t="n">
        <f aca="false">Summary!M45</f>
        <v>0</v>
      </c>
      <c r="E62" s="14" t="str">
        <f aca="false">IF(OR(D62="",C62=""),"",IF(C62&gt;D62,"I",IF(C62=D62,"X","II")))</f>
        <v/>
      </c>
      <c r="F62" s="6"/>
      <c r="G62" s="53" t="n">
        <f aca="false">'001_MikiZiso3'!$F48</f>
        <v>2</v>
      </c>
      <c r="H62" s="53" t="n">
        <f aca="false">'001_MikiZiso3'!$G48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'002_MikiZiso2'!$F48</f>
        <v>2</v>
      </c>
      <c r="M62" s="53" t="n">
        <f aca="false">'002_MikiZiso2'!$G48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'003_Miki_Ziso'!$F48</f>
        <v>1</v>
      </c>
      <c r="R62" s="53" t="n">
        <f aca="false">'003_Miki_Ziso'!$G48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'004_Nir1'!$F48</f>
        <v>1</v>
      </c>
      <c r="W62" s="53" t="n">
        <f aca="false">'004_Nir1'!$G48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'005_Nir2'!$F48</f>
        <v>3</v>
      </c>
      <c r="AB62" s="53" t="n">
        <f aca="false">'005_Nir2'!$G48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'006_Nir3'!$F48</f>
        <v>1</v>
      </c>
      <c r="AG62" s="53" t="n">
        <f aca="false">'006_Nir3'!$G48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n">
        <f aca="false">Summary!L46</f>
        <v>0</v>
      </c>
      <c r="D63" s="52" t="n">
        <f aca="false">Summary!M46</f>
        <v>0</v>
      </c>
      <c r="E63" s="14" t="str">
        <f aca="false">IF(OR(D63="",C63=""),"",IF(C63&gt;D63,"I",IF(C63=D63,"X","II")))</f>
        <v/>
      </c>
      <c r="F63" s="6"/>
      <c r="G63" s="53" t="n">
        <f aca="false">'001_MikiZiso3'!$F49</f>
        <v>2</v>
      </c>
      <c r="H63" s="53" t="n">
        <f aca="false">'001_MikiZiso3'!$G49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'002_MikiZiso2'!$F49</f>
        <v>2</v>
      </c>
      <c r="M63" s="53" t="n">
        <f aca="false">'002_MikiZiso2'!$G49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'003_Miki_Ziso'!$F49</f>
        <v>1</v>
      </c>
      <c r="R63" s="53" t="n">
        <f aca="false">'003_Miki_Ziso'!$G49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'004_Nir1'!$F49</f>
        <v>2</v>
      </c>
      <c r="W63" s="53" t="n">
        <f aca="false">'004_Nir1'!$G49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'005_Nir2'!$F49</f>
        <v>3</v>
      </c>
      <c r="AB63" s="53" t="n">
        <f aca="false">'005_Nir2'!$G49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'006_Nir3'!$F49</f>
        <v>0</v>
      </c>
      <c r="AG63" s="53" t="n">
        <f aca="false">'006_Nir3'!$G49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n">
        <f aca="false">Summary!L47</f>
        <v>0</v>
      </c>
      <c r="D64" s="52" t="n">
        <f aca="false">Summary!M47</f>
        <v>0</v>
      </c>
      <c r="E64" s="14" t="str">
        <f aca="false">IF(OR(D64="",C64=""),"",IF(C64&gt;D64,"I",IF(C64=D64,"X","II")))</f>
        <v/>
      </c>
      <c r="F64" s="6"/>
      <c r="G64" s="53" t="n">
        <f aca="false">'001_MikiZiso3'!$F50</f>
        <v>0</v>
      </c>
      <c r="H64" s="53" t="n">
        <f aca="false">'001_MikiZiso3'!$G50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'002_MikiZiso2'!$F50</f>
        <v>0</v>
      </c>
      <c r="M64" s="53" t="n">
        <f aca="false">'002_MikiZiso2'!$G50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'003_Miki_Ziso'!$F50</f>
        <v>0</v>
      </c>
      <c r="R64" s="53" t="n">
        <f aca="false">'003_Miki_Ziso'!$G50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'004_Nir1'!$F50</f>
        <v>3</v>
      </c>
      <c r="W64" s="53" t="n">
        <f aca="false">'004_Nir1'!$G50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'005_Nir2'!$F50</f>
        <v>0</v>
      </c>
      <c r="AB64" s="53" t="n">
        <f aca="false">'005_Nir2'!$G50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'006_Nir3'!$F50</f>
        <v>1</v>
      </c>
      <c r="AG64" s="53" t="n">
        <f aca="false">'006_Nir3'!$G50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n">
        <f aca="false">Summary!L48</f>
        <v>0</v>
      </c>
      <c r="D65" s="52" t="n">
        <f aca="false">Summary!M48</f>
        <v>0</v>
      </c>
      <c r="E65" s="14" t="str">
        <f aca="false">IF(OR(D65="",C65=""),"",IF(C65&gt;D65,"I",IF(C65=D65,"X","II")))</f>
        <v/>
      </c>
      <c r="F65" s="6"/>
      <c r="G65" s="53" t="n">
        <f aca="false">'001_MikiZiso3'!$F51</f>
        <v>2</v>
      </c>
      <c r="H65" s="53" t="n">
        <f aca="false">'001_MikiZiso3'!$G51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'002_MikiZiso2'!$F51</f>
        <v>2</v>
      </c>
      <c r="M65" s="53" t="n">
        <f aca="false">'002_MikiZiso2'!$G51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'003_Miki_Ziso'!$F51</f>
        <v>2</v>
      </c>
      <c r="R65" s="53" t="n">
        <f aca="false">'003_Miki_Ziso'!$G51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'004_Nir1'!$F51</f>
        <v>4</v>
      </c>
      <c r="W65" s="53" t="n">
        <f aca="false">'004_Nir1'!$G51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'005_Nir2'!$F51</f>
        <v>1</v>
      </c>
      <c r="AB65" s="53" t="n">
        <f aca="false">'005_Nir2'!$G51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'006_Nir3'!$F51</f>
        <v>1</v>
      </c>
      <c r="AG65" s="53" t="n">
        <f aca="false">'006_Nir3'!$G51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n">
        <f aca="false">Summary!L49</f>
        <v>0</v>
      </c>
      <c r="D66" s="52" t="n">
        <f aca="false">Summary!M49</f>
        <v>0</v>
      </c>
      <c r="E66" s="14" t="str">
        <f aca="false">IF(OR(D66="",C66=""),"",IF(C66&gt;D66,"I",IF(C66=D66,"X","II")))</f>
        <v/>
      </c>
      <c r="F66" s="6"/>
      <c r="G66" s="53" t="n">
        <f aca="false">'001_MikiZiso3'!$F52</f>
        <v>0</v>
      </c>
      <c r="H66" s="53" t="n">
        <f aca="false">'001_MikiZiso3'!$G52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'002_MikiZiso2'!$F52</f>
        <v>0</v>
      </c>
      <c r="M66" s="53" t="n">
        <f aca="false">'002_MikiZiso2'!$G52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'003_Miki_Ziso'!$F52</f>
        <v>0</v>
      </c>
      <c r="R66" s="53" t="n">
        <f aca="false">'003_Miki_Ziso'!$G52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'004_Nir1'!$F52</f>
        <v>3</v>
      </c>
      <c r="W66" s="53" t="n">
        <f aca="false">'004_Nir1'!$G52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'005_Nir2'!$F52</f>
        <v>0</v>
      </c>
      <c r="AB66" s="53" t="n">
        <f aca="false">'005_Nir2'!$G52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'006_Nir3'!$F52</f>
        <v>1</v>
      </c>
      <c r="AG66" s="53" t="n">
        <f aca="false">'006_Nir3'!$G52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n">
        <f aca="false">Summary!L50</f>
        <v>0</v>
      </c>
      <c r="D67" s="52" t="n">
        <f aca="false">Summary!M50</f>
        <v>0</v>
      </c>
      <c r="E67" s="14" t="str">
        <f aca="false">IF(OR(D67="",C67=""),"",IF(C67&gt;D67,"I",IF(C67=D67,"X","II")))</f>
        <v/>
      </c>
      <c r="F67" s="6"/>
      <c r="G67" s="53" t="n">
        <f aca="false">'001_MikiZiso3'!$F53</f>
        <v>2</v>
      </c>
      <c r="H67" s="53" t="n">
        <f aca="false">'001_MikiZiso3'!$G53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'002_MikiZiso2'!$F53</f>
        <v>2</v>
      </c>
      <c r="M67" s="53" t="n">
        <f aca="false">'002_MikiZiso2'!$G53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'003_Miki_Ziso'!$F53</f>
        <v>2</v>
      </c>
      <c r="R67" s="53" t="n">
        <f aca="false">'003_Miki_Ziso'!$G53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'004_Nir1'!$F53</f>
        <v>2</v>
      </c>
      <c r="W67" s="53" t="n">
        <f aca="false">'004_Nir1'!$G53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'005_Nir2'!$F53</f>
        <v>0</v>
      </c>
      <c r="AB67" s="53" t="n">
        <f aca="false">'005_Nir2'!$G53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'006_Nir3'!$F53</f>
        <v>1</v>
      </c>
      <c r="AG67" s="53" t="n">
        <f aca="false">'006_Nir3'!$G53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n">
        <f aca="false">Summary!L51</f>
        <v>0</v>
      </c>
      <c r="D68" s="52" t="n">
        <f aca="false">Summary!M51</f>
        <v>0</v>
      </c>
      <c r="E68" s="14" t="str">
        <f aca="false">IF(OR(D68="",C68=""),"",IF(C68&gt;D68,"I",IF(C68=D68,"X","II")))</f>
        <v/>
      </c>
      <c r="F68" s="6"/>
      <c r="G68" s="53" t="n">
        <f aca="false">'001_MikiZiso3'!$F54</f>
        <v>1</v>
      </c>
      <c r="H68" s="53" t="n">
        <f aca="false">'001_MikiZiso3'!$G54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'002_MikiZiso2'!$F54</f>
        <v>1</v>
      </c>
      <c r="M68" s="53" t="n">
        <f aca="false">'002_MikiZiso2'!$G54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'003_Miki_Ziso'!$F54</f>
        <v>1</v>
      </c>
      <c r="R68" s="53" t="n">
        <f aca="false">'003_Miki_Ziso'!$G54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'004_Nir1'!$F54</f>
        <v>1</v>
      </c>
      <c r="W68" s="53" t="n">
        <f aca="false">'004_Nir1'!$G54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'005_Nir2'!$F54</f>
        <v>0</v>
      </c>
      <c r="AB68" s="53" t="n">
        <f aca="false">'005_Nir2'!$G54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'006_Nir3'!$F54</f>
        <v>1</v>
      </c>
      <c r="AG68" s="53" t="n">
        <f aca="false">'006_Nir3'!$G54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n">
        <f aca="false">Summary!L52</f>
        <v>0</v>
      </c>
      <c r="D69" s="52" t="n">
        <f aca="false">Summary!M52</f>
        <v>0</v>
      </c>
      <c r="E69" s="14" t="str">
        <f aca="false">IF(OR(D69="",C69=""),"",IF(C69&gt;D69,"I",IF(C69=D69,"X","II")))</f>
        <v/>
      </c>
      <c r="F69" s="6"/>
      <c r="G69" s="53" t="n">
        <f aca="false">'001_MikiZiso3'!$F55</f>
        <v>0</v>
      </c>
      <c r="H69" s="53" t="n">
        <f aca="false">'001_MikiZiso3'!$G55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'002_MikiZiso2'!$F55</f>
        <v>0</v>
      </c>
      <c r="M69" s="53" t="n">
        <f aca="false">'002_MikiZiso2'!$G55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'003_Miki_Ziso'!$F55</f>
        <v>0</v>
      </c>
      <c r="R69" s="53" t="n">
        <f aca="false">'003_Miki_Ziso'!$G55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'004_Nir1'!$F55</f>
        <v>1</v>
      </c>
      <c r="W69" s="53" t="n">
        <f aca="false">'004_Nir1'!$G55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'005_Nir2'!$F55</f>
        <v>0</v>
      </c>
      <c r="AB69" s="53" t="n">
        <f aca="false">'005_Nir2'!$G55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'006_Nir3'!$F55</f>
        <v>2</v>
      </c>
      <c r="AG69" s="53" t="n">
        <f aca="false">'006_Nir3'!$G55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n">
        <f aca="false">Summary!L53</f>
        <v>0</v>
      </c>
      <c r="D70" s="52" t="n">
        <f aca="false">Summary!M53</f>
        <v>0</v>
      </c>
      <c r="E70" s="14" t="str">
        <f aca="false">IF(OR(D70="",C70=""),"",IF(C70&gt;D70,"I",IF(C70=D70,"X","II")))</f>
        <v/>
      </c>
      <c r="F70" s="6"/>
      <c r="G70" s="53" t="n">
        <f aca="false">'001_MikiZiso3'!$F56</f>
        <v>3</v>
      </c>
      <c r="H70" s="53" t="n">
        <f aca="false">'001_MikiZiso3'!$G56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'002_MikiZiso2'!$F56</f>
        <v>3</v>
      </c>
      <c r="M70" s="53" t="n">
        <f aca="false">'002_MikiZiso2'!$G56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'003_Miki_Ziso'!$F56</f>
        <v>3</v>
      </c>
      <c r="R70" s="53" t="n">
        <f aca="false">'003_Miki_Ziso'!$G56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'004_Nir1'!$F56</f>
        <v>1</v>
      </c>
      <c r="W70" s="53" t="n">
        <f aca="false">'004_Nir1'!$G56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'005_Nir2'!$F56</f>
        <v>1</v>
      </c>
      <c r="AB70" s="53" t="n">
        <f aca="false">'005_Nir2'!$G56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'006_Nir3'!$F56</f>
        <v>0</v>
      </c>
      <c r="AG70" s="53" t="n">
        <f aca="false">'006_Nir3'!$G56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n">
        <f aca="false">Summary!L54</f>
        <v>0</v>
      </c>
      <c r="D71" s="52" t="n">
        <f aca="false">Summary!M54</f>
        <v>0</v>
      </c>
      <c r="E71" s="14" t="str">
        <f aca="false">IF(OR(D71="",C71=""),"",IF(C71&gt;D71,"I",IF(C71=D71,"X","II")))</f>
        <v/>
      </c>
      <c r="F71" s="6"/>
      <c r="G71" s="53" t="n">
        <f aca="false">'001_MikiZiso3'!$F57</f>
        <v>1</v>
      </c>
      <c r="H71" s="53" t="n">
        <f aca="false">'001_MikiZiso3'!$G57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'002_MikiZiso2'!$F57</f>
        <v>1</v>
      </c>
      <c r="M71" s="53" t="n">
        <f aca="false">'002_MikiZiso2'!$G57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'003_Miki_Ziso'!$F57</f>
        <v>0</v>
      </c>
      <c r="R71" s="53" t="n">
        <f aca="false">'003_Miki_Ziso'!$G57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'004_Nir1'!$F57</f>
        <v>0</v>
      </c>
      <c r="W71" s="53" t="n">
        <f aca="false">'004_Nir1'!$G57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'005_Nir2'!$F57</f>
        <v>3</v>
      </c>
      <c r="AB71" s="53" t="n">
        <f aca="false">'005_Nir2'!$G57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'006_Nir3'!$F57</f>
        <v>0</v>
      </c>
      <c r="AG71" s="53" t="n">
        <f aca="false">'006_Nir3'!$G57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n">
        <f aca="false">Summary!L55</f>
        <v>0</v>
      </c>
      <c r="D72" s="52" t="n">
        <f aca="false">Summary!M55</f>
        <v>0</v>
      </c>
      <c r="E72" s="14" t="str">
        <f aca="false">IF(OR(D72="",C72=""),"",IF(C72&gt;D72,"I",IF(C72=D72,"X","II")))</f>
        <v/>
      </c>
      <c r="F72" s="6"/>
      <c r="G72" s="53" t="n">
        <f aca="false">'001_MikiZiso3'!$F58</f>
        <v>1</v>
      </c>
      <c r="H72" s="53" t="n">
        <f aca="false">'001_MikiZiso3'!$G58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'002_MikiZiso2'!$F58</f>
        <v>1</v>
      </c>
      <c r="M72" s="53" t="n">
        <f aca="false">'002_MikiZiso2'!$G58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'003_Miki_Ziso'!$F58</f>
        <v>1</v>
      </c>
      <c r="R72" s="53" t="n">
        <f aca="false">'003_Miki_Ziso'!$G58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'004_Nir1'!$F58</f>
        <v>0</v>
      </c>
      <c r="W72" s="53" t="n">
        <f aca="false">'004_Nir1'!$G58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'005_Nir2'!$F58</f>
        <v>1</v>
      </c>
      <c r="AB72" s="53" t="n">
        <f aca="false">'005_Nir2'!$G58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'006_Nir3'!$F58</f>
        <v>0</v>
      </c>
      <c r="AG72" s="53" t="n">
        <f aca="false">'006_Nir3'!$G58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n">
        <f aca="false">Summary!L56</f>
        <v>0</v>
      </c>
      <c r="D73" s="52" t="n">
        <f aca="false">Summary!M56</f>
        <v>0</v>
      </c>
      <c r="E73" s="14" t="str">
        <f aca="false">IF(OR(D73="",C73=""),"",IF(C73&gt;D73,"I",IF(C73=D73,"X","II")))</f>
        <v/>
      </c>
      <c r="F73" s="6"/>
      <c r="G73" s="53" t="n">
        <f aca="false">'001_MikiZiso3'!$F59</f>
        <v>1</v>
      </c>
      <c r="H73" s="53" t="n">
        <f aca="false">'001_MikiZiso3'!$G59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'002_MikiZiso2'!$F59</f>
        <v>1</v>
      </c>
      <c r="M73" s="53" t="n">
        <f aca="false">'002_MikiZiso2'!$G59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'003_Miki_Ziso'!$F59</f>
        <v>1</v>
      </c>
      <c r="R73" s="53" t="n">
        <f aca="false">'003_Miki_Ziso'!$G59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'004_Nir1'!$F59</f>
        <v>0</v>
      </c>
      <c r="W73" s="53" t="n">
        <f aca="false">'004_Nir1'!$G59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'005_Nir2'!$F59</f>
        <v>3</v>
      </c>
      <c r="AB73" s="53" t="n">
        <f aca="false">'005_Nir2'!$G59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'006_Nir3'!$F59</f>
        <v>2</v>
      </c>
      <c r="AG73" s="53" t="n">
        <f aca="false">'006_Nir3'!$G59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n">
        <f aca="false">Summary!L57</f>
        <v>0</v>
      </c>
      <c r="D74" s="52" t="n">
        <f aca="false">Summary!M57</f>
        <v>0</v>
      </c>
      <c r="E74" s="14" t="str">
        <f aca="false">IF(OR(D74="",C74=""),"",IF(C74&gt;D74,"I",IF(C74=D74,"X","II")))</f>
        <v/>
      </c>
      <c r="F74" s="6"/>
      <c r="G74" s="53" t="n">
        <f aca="false">'001_MikiZiso3'!$F60</f>
        <v>1</v>
      </c>
      <c r="H74" s="53" t="n">
        <f aca="false">'001_MikiZiso3'!$G60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'002_MikiZiso2'!$F60</f>
        <v>1</v>
      </c>
      <c r="M74" s="53" t="n">
        <f aca="false">'002_MikiZiso2'!$G60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'003_Miki_Ziso'!$F60</f>
        <v>1</v>
      </c>
      <c r="R74" s="53" t="n">
        <f aca="false">'003_Miki_Ziso'!$G60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'004_Nir1'!$F60</f>
        <v>2</v>
      </c>
      <c r="W74" s="53" t="n">
        <f aca="false">'004_Nir1'!$G60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'005_Nir2'!$F60</f>
        <v>1</v>
      </c>
      <c r="AB74" s="53" t="n">
        <f aca="false">'005_Nir2'!$G60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'006_Nir3'!$F60</f>
        <v>1</v>
      </c>
      <c r="AG74" s="53" t="n">
        <f aca="false">'006_Nir3'!$G60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n">
        <f aca="false">Summary!L58</f>
        <v>0</v>
      </c>
      <c r="D75" s="52" t="n">
        <f aca="false">Summary!M58</f>
        <v>0</v>
      </c>
      <c r="E75" s="14" t="str">
        <f aca="false">IF(OR(D75="",C75=""),"",IF(C75&gt;D75,"I",IF(C75=D75,"X","II")))</f>
        <v/>
      </c>
      <c r="F75" s="6"/>
      <c r="G75" s="53" t="n">
        <f aca="false">'001_MikiZiso3'!$F61</f>
        <v>1</v>
      </c>
      <c r="H75" s="53" t="n">
        <f aca="false">'001_MikiZiso3'!$G61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'002_MikiZiso2'!$F61</f>
        <v>1</v>
      </c>
      <c r="M75" s="53" t="n">
        <f aca="false">'002_MikiZiso2'!$G61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'003_Miki_Ziso'!$F61</f>
        <v>1</v>
      </c>
      <c r="R75" s="53" t="n">
        <f aca="false">'003_Miki_Ziso'!$G61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'004_Nir1'!$F61</f>
        <v>3</v>
      </c>
      <c r="W75" s="53" t="n">
        <f aca="false">'004_Nir1'!$G61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'005_Nir2'!$F61</f>
        <v>0</v>
      </c>
      <c r="AB75" s="53" t="n">
        <f aca="false">'005_Nir2'!$G61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'006_Nir3'!$F61</f>
        <v>3</v>
      </c>
      <c r="AG75" s="53" t="n">
        <f aca="false">'006_Nir3'!$G61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n">
        <f aca="false">Summary!L59</f>
        <v>0</v>
      </c>
      <c r="D76" s="52" t="n">
        <f aca="false">Summary!M59</f>
        <v>0</v>
      </c>
      <c r="E76" s="14" t="str">
        <f aca="false">IF(OR(D76="",C76=""),"",IF(C76&gt;D76,"I",IF(C76=D76,"X","II")))</f>
        <v/>
      </c>
      <c r="F76" s="6"/>
      <c r="G76" s="53" t="n">
        <f aca="false">'001_MikiZiso3'!$F62</f>
        <v>2</v>
      </c>
      <c r="H76" s="53" t="n">
        <f aca="false">'001_MikiZiso3'!$G62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'002_MikiZiso2'!$F62</f>
        <v>2</v>
      </c>
      <c r="M76" s="53" t="n">
        <f aca="false">'002_MikiZiso2'!$G62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'003_Miki_Ziso'!$F62</f>
        <v>2</v>
      </c>
      <c r="R76" s="53" t="n">
        <f aca="false">'003_Miki_Ziso'!$G62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'004_Nir1'!$F62</f>
        <v>1</v>
      </c>
      <c r="W76" s="53" t="n">
        <f aca="false">'004_Nir1'!$G62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'005_Nir2'!$F62</f>
        <v>0</v>
      </c>
      <c r="AB76" s="53" t="n">
        <f aca="false">'005_Nir2'!$G62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'006_Nir3'!$F62</f>
        <v>2</v>
      </c>
      <c r="AG76" s="53" t="n">
        <f aca="false">'006_Nir3'!$G62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n">
        <f aca="false">Summary!L60</f>
        <v>0</v>
      </c>
      <c r="D77" s="52" t="n">
        <f aca="false">Summary!M60</f>
        <v>0</v>
      </c>
      <c r="E77" s="14" t="str">
        <f aca="false">IF(OR(D77="",C77=""),"",IF(C77&gt;D77,"I",IF(C77=D77,"X","II")))</f>
        <v/>
      </c>
      <c r="F77" s="6"/>
      <c r="G77" s="53" t="n">
        <f aca="false">'001_MikiZiso3'!$F63</f>
        <v>1</v>
      </c>
      <c r="H77" s="53" t="n">
        <f aca="false">'001_MikiZiso3'!$G63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'002_MikiZiso2'!$F63</f>
        <v>1</v>
      </c>
      <c r="M77" s="53" t="n">
        <f aca="false">'002_MikiZiso2'!$G63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'003_Miki_Ziso'!$F63</f>
        <v>1</v>
      </c>
      <c r="R77" s="53" t="n">
        <f aca="false">'003_Miki_Ziso'!$G63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'004_Nir1'!$F63</f>
        <v>3</v>
      </c>
      <c r="W77" s="53" t="n">
        <f aca="false">'004_Nir1'!$G63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'005_Nir2'!$F63</f>
        <v>4</v>
      </c>
      <c r="AB77" s="53" t="n">
        <f aca="false">'005_Nir2'!$G63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'006_Nir3'!$F63</f>
        <v>1</v>
      </c>
      <c r="AG77" s="53" t="n">
        <f aca="false">'006_Nir3'!$G63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n">
        <f aca="false">Summary!L61</f>
        <v>0</v>
      </c>
      <c r="D78" s="52" t="n">
        <f aca="false">Summary!M61</f>
        <v>0</v>
      </c>
      <c r="E78" s="14" t="str">
        <f aca="false">IF(OR(D78="",C78=""),"",IF(C78&gt;D78,"I",IF(C78=D78,"X","II")))</f>
        <v/>
      </c>
      <c r="F78" s="6"/>
      <c r="G78" s="53" t="n">
        <f aca="false">'001_MikiZiso3'!$F64</f>
        <v>0</v>
      </c>
      <c r="H78" s="53" t="n">
        <f aca="false">'001_MikiZiso3'!$G64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'002_MikiZiso2'!$F64</f>
        <v>0</v>
      </c>
      <c r="M78" s="53" t="n">
        <f aca="false">'002_MikiZiso2'!$G64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'003_Miki_Ziso'!$F64</f>
        <v>0</v>
      </c>
      <c r="R78" s="53" t="n">
        <f aca="false">'003_Miki_Ziso'!$G64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'004_Nir1'!$F64</f>
        <v>4</v>
      </c>
      <c r="W78" s="53" t="n">
        <f aca="false">'004_Nir1'!$G64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'005_Nir2'!$F64</f>
        <v>0</v>
      </c>
      <c r="AB78" s="53" t="n">
        <f aca="false">'005_Nir2'!$G64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'006_Nir3'!$F64</f>
        <v>0</v>
      </c>
      <c r="AG78" s="53" t="n">
        <f aca="false">'006_Nir3'!$G64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n">
        <f aca="false">Summary!L62</f>
        <v>0</v>
      </c>
      <c r="D79" s="52" t="n">
        <f aca="false">Summary!M62</f>
        <v>0</v>
      </c>
      <c r="E79" s="14" t="str">
        <f aca="false">IF(OR(D79="",C79=""),"",IF(C79&gt;D79,"I",IF(C79=D79,"X","II")))</f>
        <v/>
      </c>
      <c r="F79" s="6"/>
      <c r="G79" s="53" t="n">
        <f aca="false">'001_MikiZiso3'!$F65</f>
        <v>1</v>
      </c>
      <c r="H79" s="53" t="n">
        <f aca="false">'001_MikiZiso3'!$G65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'002_MikiZiso2'!$F65</f>
        <v>1</v>
      </c>
      <c r="M79" s="53" t="n">
        <f aca="false">'002_MikiZiso2'!$G65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'003_Miki_Ziso'!$F65</f>
        <v>1</v>
      </c>
      <c r="R79" s="53" t="n">
        <f aca="false">'003_Miki_Ziso'!$G65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'004_Nir1'!$F65</f>
        <v>3</v>
      </c>
      <c r="W79" s="53" t="n">
        <f aca="false">'004_Nir1'!$G65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'005_Nir2'!$F65</f>
        <v>0</v>
      </c>
      <c r="AB79" s="53" t="n">
        <f aca="false">'005_Nir2'!$G65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'006_Nir3'!$F65</f>
        <v>1</v>
      </c>
      <c r="AG79" s="53" t="n">
        <f aca="false">'006_Nir3'!$G65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n">
        <f aca="false">Summary!L63</f>
        <v>0</v>
      </c>
      <c r="D80" s="52" t="n">
        <f aca="false">Summary!M63</f>
        <v>0</v>
      </c>
      <c r="E80" s="14" t="str">
        <f aca="false">IF(OR(D80="",C80=""),"",IF(C80&gt;D80,"I",IF(C80=D80,"X","II")))</f>
        <v/>
      </c>
      <c r="F80" s="6"/>
      <c r="G80" s="53" t="n">
        <f aca="false">'001_MikiZiso3'!$F66</f>
        <v>0</v>
      </c>
      <c r="H80" s="53" t="n">
        <f aca="false">'001_MikiZiso3'!$G66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'002_MikiZiso2'!$F66</f>
        <v>0</v>
      </c>
      <c r="M80" s="53" t="n">
        <f aca="false">'002_MikiZiso2'!$G66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'003_Miki_Ziso'!$F66</f>
        <v>0</v>
      </c>
      <c r="R80" s="53" t="n">
        <f aca="false">'003_Miki_Ziso'!$G66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'004_Nir1'!$F66</f>
        <v>1</v>
      </c>
      <c r="W80" s="53" t="n">
        <f aca="false">'004_Nir1'!$G66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'005_Nir2'!$F66</f>
        <v>0</v>
      </c>
      <c r="AB80" s="53" t="n">
        <f aca="false">'005_Nir2'!$G66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'006_Nir3'!$F66</f>
        <v>0</v>
      </c>
      <c r="AG80" s="53" t="n">
        <f aca="false">'006_Nir3'!$G66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n">
        <f aca="false">Summary!L64</f>
        <v>0</v>
      </c>
      <c r="D81" s="52" t="n">
        <f aca="false">Summary!M64</f>
        <v>0</v>
      </c>
      <c r="E81" s="14" t="str">
        <f aca="false">IF(OR(D81="",C81=""),"",IF(C81&gt;D81,"I",IF(C81=D81,"X","II")))</f>
        <v/>
      </c>
      <c r="F81" s="6"/>
      <c r="G81" s="53" t="n">
        <f aca="false">'001_MikiZiso3'!$F67</f>
        <v>1</v>
      </c>
      <c r="H81" s="53" t="n">
        <f aca="false">'001_MikiZiso3'!$G67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'002_MikiZiso2'!$F67</f>
        <v>1</v>
      </c>
      <c r="M81" s="53" t="n">
        <f aca="false">'002_MikiZiso2'!$G67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'003_Miki_Ziso'!$F67</f>
        <v>1</v>
      </c>
      <c r="R81" s="53" t="n">
        <f aca="false">'003_Miki_Ziso'!$G67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'004_Nir1'!$F67</f>
        <v>2</v>
      </c>
      <c r="W81" s="53" t="n">
        <f aca="false">'004_Nir1'!$G67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'005_Nir2'!$F67</f>
        <v>0</v>
      </c>
      <c r="AB81" s="53" t="n">
        <f aca="false">'005_Nir2'!$G67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'006_Nir3'!$F67</f>
        <v>1</v>
      </c>
      <c r="AG81" s="53" t="n">
        <f aca="false">'006_Nir3'!$G67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n">
        <f aca="false">Summary!L65</f>
        <v>0</v>
      </c>
      <c r="D82" s="52" t="n">
        <f aca="false">Summary!M65</f>
        <v>0</v>
      </c>
      <c r="E82" s="14" t="str">
        <f aca="false">IF(OR(D82="",C82=""),"",IF(C82&gt;D82,"I",IF(C82=D82,"X","II")))</f>
        <v/>
      </c>
      <c r="F82" s="6"/>
      <c r="G82" s="53" t="n">
        <f aca="false">'001_MikiZiso3'!$F68</f>
        <v>0</v>
      </c>
      <c r="H82" s="53" t="n">
        <f aca="false">'001_MikiZiso3'!$G68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'002_MikiZiso2'!$F68</f>
        <v>0</v>
      </c>
      <c r="M82" s="53" t="n">
        <f aca="false">'002_MikiZiso2'!$G68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'003_Miki_Ziso'!$F68</f>
        <v>0</v>
      </c>
      <c r="R82" s="53" t="n">
        <f aca="false">'003_Miki_Ziso'!$G68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'004_Nir1'!$F68</f>
        <v>0</v>
      </c>
      <c r="W82" s="53" t="n">
        <f aca="false">'004_Nir1'!$G68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'005_Nir2'!$F68</f>
        <v>1</v>
      </c>
      <c r="AB82" s="53" t="n">
        <f aca="false">'005_Nir2'!$G68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'006_Nir3'!$F68</f>
        <v>2</v>
      </c>
      <c r="AG82" s="53" t="n">
        <f aca="false">'006_Nir3'!$G68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n">
        <f aca="false">Summary!L66</f>
        <v>0</v>
      </c>
      <c r="D83" s="52" t="n">
        <f aca="false">Summary!M66</f>
        <v>0</v>
      </c>
      <c r="E83" s="14" t="str">
        <f aca="false">IF(OR(D83="",C83=""),"",IF(C83&gt;D83,"I",IF(C83=D83,"X","II")))</f>
        <v/>
      </c>
      <c r="F83" s="6"/>
      <c r="G83" s="53" t="n">
        <f aca="false">'001_MikiZiso3'!$F69</f>
        <v>2</v>
      </c>
      <c r="H83" s="53" t="n">
        <f aca="false">'001_MikiZiso3'!$G69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'002_MikiZiso2'!$F69</f>
        <v>2</v>
      </c>
      <c r="M83" s="53" t="n">
        <f aca="false">'002_MikiZiso2'!$G69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'003_Miki_Ziso'!$F69</f>
        <v>2</v>
      </c>
      <c r="R83" s="53" t="n">
        <f aca="false">'003_Miki_Ziso'!$G69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'004_Nir1'!$F69</f>
        <v>0</v>
      </c>
      <c r="W83" s="53" t="n">
        <f aca="false">'004_Nir1'!$G69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'005_Nir2'!$F69</f>
        <v>2</v>
      </c>
      <c r="AB83" s="53" t="n">
        <f aca="false">'005_Nir2'!$G69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'006_Nir3'!$F69</f>
        <v>3</v>
      </c>
      <c r="AG83" s="53" t="n">
        <f aca="false">'006_Nir3'!$G69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n">
        <f aca="false">Summary!L67</f>
        <v>0</v>
      </c>
      <c r="D84" s="52" t="n">
        <f aca="false">Summary!M67</f>
        <v>0</v>
      </c>
      <c r="E84" s="14" t="str">
        <f aca="false">IF(OR(D84="",C84=""),"",IF(C84&gt;D84,"I",IF(C84=D84,"X","II")))</f>
        <v/>
      </c>
      <c r="F84" s="6"/>
      <c r="G84" s="53" t="n">
        <f aca="false">'001_MikiZiso3'!$F70</f>
        <v>2</v>
      </c>
      <c r="H84" s="53" t="n">
        <f aca="false">'001_MikiZiso3'!$G70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'002_MikiZiso2'!$F70</f>
        <v>2</v>
      </c>
      <c r="M84" s="53" t="n">
        <f aca="false">'002_MikiZiso2'!$G70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'003_Miki_Ziso'!$F70</f>
        <v>2</v>
      </c>
      <c r="R84" s="53" t="n">
        <f aca="false">'003_Miki_Ziso'!$G70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'004_Nir1'!$F70</f>
        <v>0</v>
      </c>
      <c r="W84" s="53" t="n">
        <f aca="false">'004_Nir1'!$G70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'005_Nir2'!$F70</f>
        <v>1</v>
      </c>
      <c r="AB84" s="53" t="n">
        <f aca="false">'005_Nir2'!$G70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'006_Nir3'!$F70</f>
        <v>0</v>
      </c>
      <c r="AG84" s="53" t="n">
        <f aca="false">'006_Nir3'!$G70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n">
        <f aca="false">Summary!L68</f>
        <v>0</v>
      </c>
      <c r="D85" s="52" t="n">
        <f aca="false">Summary!M68</f>
        <v>0</v>
      </c>
      <c r="E85" s="14" t="str">
        <f aca="false">IF(OR(D85="",C85=""),"",IF(C85&gt;D85,"I",IF(C85=D85,"X","II")))</f>
        <v/>
      </c>
      <c r="F85" s="6"/>
      <c r="G85" s="53" t="n">
        <f aca="false">'001_MikiZiso3'!$F71</f>
        <v>0</v>
      </c>
      <c r="H85" s="53" t="n">
        <f aca="false">'001_MikiZiso3'!$G71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'002_MikiZiso2'!$F71</f>
        <v>0</v>
      </c>
      <c r="M85" s="53" t="n">
        <f aca="false">'002_MikiZiso2'!$G71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'003_Miki_Ziso'!$F71</f>
        <v>0</v>
      </c>
      <c r="R85" s="53" t="n">
        <f aca="false">'003_Miki_Ziso'!$G71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'004_Nir1'!$F71</f>
        <v>1</v>
      </c>
      <c r="W85" s="53" t="n">
        <f aca="false">'004_Nir1'!$G71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'005_Nir2'!$F71</f>
        <v>3</v>
      </c>
      <c r="AB85" s="53" t="n">
        <f aca="false">'005_Nir2'!$G71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'006_Nir3'!$F71</f>
        <v>3</v>
      </c>
      <c r="AG85" s="53" t="n">
        <f aca="false">'006_Nir3'!$G71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n">
        <f aca="false">Summary!L69</f>
        <v>0</v>
      </c>
      <c r="D86" s="52" t="n">
        <f aca="false">Summary!M69</f>
        <v>0</v>
      </c>
      <c r="E86" s="14" t="str">
        <f aca="false">IF(OR(D86="",C86=""),"",IF(C86&gt;D86,"I",IF(C86=D86,"X","II")))</f>
        <v/>
      </c>
      <c r="F86" s="6"/>
      <c r="G86" s="53" t="n">
        <f aca="false">'001_MikiZiso3'!$F72</f>
        <v>0</v>
      </c>
      <c r="H86" s="53" t="n">
        <f aca="false">'001_MikiZiso3'!$G72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'002_MikiZiso2'!$F72</f>
        <v>0</v>
      </c>
      <c r="M86" s="53" t="n">
        <f aca="false">'002_MikiZiso2'!$G72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'003_Miki_Ziso'!$F72</f>
        <v>0</v>
      </c>
      <c r="R86" s="53" t="n">
        <f aca="false">'003_Miki_Ziso'!$G72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'004_Nir1'!$F72</f>
        <v>2</v>
      </c>
      <c r="W86" s="53" t="n">
        <f aca="false">'004_Nir1'!$G72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'005_Nir2'!$F72</f>
        <v>0</v>
      </c>
      <c r="AB86" s="53" t="n">
        <f aca="false">'005_Nir2'!$G72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'006_Nir3'!$F72</f>
        <v>2</v>
      </c>
      <c r="AG86" s="53" t="n">
        <f aca="false">'006_Nir3'!$G72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n">
        <f aca="false">Summary!L70</f>
        <v>0</v>
      </c>
      <c r="D87" s="52" t="n">
        <f aca="false">Summary!M70</f>
        <v>0</v>
      </c>
      <c r="E87" s="14" t="str">
        <f aca="false">IF(OR(D87="",C87=""),"",IF(C87&gt;D87,"I",IF(C87=D87,"X","II")))</f>
        <v/>
      </c>
      <c r="F87" s="6"/>
      <c r="G87" s="53" t="n">
        <f aca="false">'001_MikiZiso3'!$F73</f>
        <v>0</v>
      </c>
      <c r="H87" s="53" t="n">
        <f aca="false">'001_MikiZiso3'!$G73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'002_MikiZiso2'!$F73</f>
        <v>0</v>
      </c>
      <c r="M87" s="53" t="n">
        <f aca="false">'002_MikiZiso2'!$G73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'003_Miki_Ziso'!$F73</f>
        <v>0</v>
      </c>
      <c r="R87" s="53" t="n">
        <f aca="false">'003_Miki_Ziso'!$G73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'004_Nir1'!$F73</f>
        <v>1</v>
      </c>
      <c r="W87" s="53" t="n">
        <f aca="false">'004_Nir1'!$G73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'005_Nir2'!$F73</f>
        <v>0</v>
      </c>
      <c r="AB87" s="53" t="n">
        <f aca="false">'005_Nir2'!$G73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'006_Nir3'!$F73</f>
        <v>1</v>
      </c>
      <c r="AG87" s="53" t="n">
        <f aca="false">'006_Nir3'!$G73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n">
        <f aca="false">Summary!L71</f>
        <v>0</v>
      </c>
      <c r="D88" s="52" t="n">
        <f aca="false">Summary!M71</f>
        <v>0</v>
      </c>
      <c r="E88" s="14" t="str">
        <f aca="false">IF(OR(D88="",C88=""),"",IF(C88&gt;D88,"I",IF(C88=D88,"X","II")))</f>
        <v/>
      </c>
      <c r="F88" s="6"/>
      <c r="G88" s="53" t="n">
        <f aca="false">'001_MikiZiso3'!$F74</f>
        <v>1</v>
      </c>
      <c r="H88" s="53" t="n">
        <f aca="false">'001_MikiZiso3'!$G74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'002_MikiZiso2'!$F74</f>
        <v>1</v>
      </c>
      <c r="M88" s="53" t="n">
        <f aca="false">'002_MikiZiso2'!$G74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'003_Miki_Ziso'!$F74</f>
        <v>1</v>
      </c>
      <c r="R88" s="53" t="n">
        <f aca="false">'003_Miki_Ziso'!$G74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'004_Nir1'!$F74</f>
        <v>3</v>
      </c>
      <c r="W88" s="53" t="n">
        <f aca="false">'004_Nir1'!$G74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'005_Nir2'!$F74</f>
        <v>0</v>
      </c>
      <c r="AB88" s="53" t="n">
        <f aca="false">'005_Nir2'!$G74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'006_Nir3'!$F74</f>
        <v>0</v>
      </c>
      <c r="AG88" s="53" t="n">
        <f aca="false">'006_Nir3'!$G74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n">
        <f aca="false">Summary!L72</f>
        <v>0</v>
      </c>
      <c r="D89" s="52" t="n">
        <f aca="false">Summary!M72</f>
        <v>0</v>
      </c>
      <c r="E89" s="14" t="str">
        <f aca="false">IF(OR(D89="",C89=""),"",IF(C89&gt;D89,"I",IF(C89=D89,"X","II")))</f>
        <v/>
      </c>
      <c r="F89" s="6"/>
      <c r="G89" s="53" t="n">
        <f aca="false">'001_MikiZiso3'!$F75</f>
        <v>0</v>
      </c>
      <c r="H89" s="53" t="n">
        <f aca="false">'001_MikiZiso3'!$G75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'002_MikiZiso2'!$F75</f>
        <v>0</v>
      </c>
      <c r="M89" s="53" t="n">
        <f aca="false">'002_MikiZiso2'!$G75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'003_Miki_Ziso'!$F75</f>
        <v>0</v>
      </c>
      <c r="R89" s="53" t="n">
        <f aca="false">'003_Miki_Ziso'!$G75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'004_Nir1'!$F75</f>
        <v>1</v>
      </c>
      <c r="W89" s="53" t="n">
        <f aca="false">'004_Nir1'!$G75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'005_Nir2'!$F75</f>
        <v>0</v>
      </c>
      <c r="AB89" s="53" t="n">
        <f aca="false">'005_Nir2'!$G75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'006_Nir3'!$F75</f>
        <v>1</v>
      </c>
      <c r="AG89" s="53" t="n">
        <f aca="false">'006_Nir3'!$G75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n">
        <f aca="false">Summary!L73</f>
        <v>0</v>
      </c>
      <c r="D90" s="52" t="n">
        <f aca="false">Summary!M73</f>
        <v>0</v>
      </c>
      <c r="E90" s="14" t="str">
        <f aca="false">IF(OR(D90="",C90=""),"",IF(C90&gt;D90,"I",IF(C90=D90,"X","II")))</f>
        <v/>
      </c>
      <c r="F90" s="6"/>
      <c r="G90" s="53" t="n">
        <f aca="false">'001_MikiZiso3'!$F76</f>
        <v>0</v>
      </c>
      <c r="H90" s="53" t="n">
        <f aca="false">'001_MikiZiso3'!$G76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'002_MikiZiso2'!$F76</f>
        <v>0</v>
      </c>
      <c r="M90" s="53" t="n">
        <f aca="false">'002_MikiZiso2'!$G76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'003_Miki_Ziso'!$F76</f>
        <v>0</v>
      </c>
      <c r="R90" s="53" t="n">
        <f aca="false">'003_Miki_Ziso'!$G76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'004_Nir1'!$F76</f>
        <v>1</v>
      </c>
      <c r="W90" s="53" t="n">
        <f aca="false">'004_Nir1'!$G76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'005_Nir2'!$F76</f>
        <v>3</v>
      </c>
      <c r="AB90" s="53" t="n">
        <f aca="false">'005_Nir2'!$G76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'006_Nir3'!$F76</f>
        <v>2</v>
      </c>
      <c r="AG90" s="53" t="n">
        <f aca="false">'006_Nir3'!$G76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n">
        <f aca="false">Summary!L74</f>
        <v>0</v>
      </c>
      <c r="D91" s="52" t="n">
        <f aca="false">Summary!M74</f>
        <v>0</v>
      </c>
      <c r="E91" s="14" t="str">
        <f aca="false">IF(OR(D91="",C91=""),"",IF(C91&gt;D91,"I",IF(C91=D91,"X","II")))</f>
        <v/>
      </c>
      <c r="F91" s="6"/>
      <c r="G91" s="53" t="n">
        <f aca="false">'001_MikiZiso3'!$F77</f>
        <v>2</v>
      </c>
      <c r="H91" s="53" t="n">
        <f aca="false">'001_MikiZiso3'!$G77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'002_MikiZiso2'!$F77</f>
        <v>2</v>
      </c>
      <c r="M91" s="53" t="n">
        <f aca="false">'002_MikiZiso2'!$G77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'003_Miki_Ziso'!$F77</f>
        <v>2</v>
      </c>
      <c r="R91" s="53" t="n">
        <f aca="false">'003_Miki_Ziso'!$G77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'004_Nir1'!$F77</f>
        <v>1</v>
      </c>
      <c r="W91" s="53" t="n">
        <f aca="false">'004_Nir1'!$G77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'005_Nir2'!$F77</f>
        <v>3</v>
      </c>
      <c r="AB91" s="53" t="n">
        <f aca="false">'005_Nir2'!$G77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'006_Nir3'!$F77</f>
        <v>0</v>
      </c>
      <c r="AG91" s="53" t="n">
        <f aca="false">'006_Nir3'!$G77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n">
        <f aca="false">Summary!L75</f>
        <v>0</v>
      </c>
      <c r="D92" s="52" t="n">
        <f aca="false">Summary!M75</f>
        <v>0</v>
      </c>
      <c r="E92" s="14" t="str">
        <f aca="false">IF(OR(D92="",C92=""),"",IF(C92&gt;D92,"I",IF(C92=D92,"X","II")))</f>
        <v/>
      </c>
      <c r="F92" s="6"/>
      <c r="G92" s="53" t="n">
        <f aca="false">'001_MikiZiso3'!$F78</f>
        <v>0</v>
      </c>
      <c r="H92" s="53" t="n">
        <f aca="false">'001_MikiZiso3'!$G78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'002_MikiZiso2'!$F78</f>
        <v>0</v>
      </c>
      <c r="M92" s="53" t="n">
        <f aca="false">'002_MikiZiso2'!$G78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'003_Miki_Ziso'!$F78</f>
        <v>0</v>
      </c>
      <c r="R92" s="53" t="n">
        <f aca="false">'003_Miki_Ziso'!$G78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'004_Nir1'!$F78</f>
        <v>2</v>
      </c>
      <c r="W92" s="53" t="n">
        <f aca="false">'004_Nir1'!$G78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'005_Nir2'!$F78</f>
        <v>3</v>
      </c>
      <c r="AB92" s="53" t="n">
        <f aca="false">'005_Nir2'!$G78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'006_Nir3'!$F78</f>
        <v>3</v>
      </c>
      <c r="AG92" s="53" t="n">
        <f aca="false">'006_Nir3'!$G78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'001_MikiZiso3'!$BL10</f>
        <v>Germany</v>
      </c>
      <c r="H97" s="9"/>
      <c r="I97" s="9"/>
      <c r="J97" s="10" t="n">
        <f aca="false">COUNTIF($B$97:$B$128,G97)*$E$177</f>
        <v>0</v>
      </c>
      <c r="L97" s="50" t="str">
        <f aca="false">'002_MikiZiso2'!$BL10</f>
        <v>Germany</v>
      </c>
      <c r="M97" s="9"/>
      <c r="N97" s="9"/>
      <c r="O97" s="10" t="n">
        <f aca="false">COUNTIF($B$97:$B$128,L97)*$E$177</f>
        <v>0</v>
      </c>
      <c r="Q97" s="50" t="str">
        <f aca="false">'003_Miki_Ziso'!$BL10</f>
        <v>Germany</v>
      </c>
      <c r="R97" s="9"/>
      <c r="S97" s="9"/>
      <c r="T97" s="10" t="n">
        <f aca="false">COUNTIF($B$97:$B$128,Q97)*$E$177</f>
        <v>0</v>
      </c>
      <c r="V97" s="50" t="str">
        <f aca="false">'004_Nir1'!$BL10</f>
        <v>Ecuador</v>
      </c>
      <c r="W97" s="9"/>
      <c r="X97" s="9"/>
      <c r="Y97" s="10" t="n">
        <f aca="false">COUNTIF($B$97:$B$128,V97)*$E$177</f>
        <v>0</v>
      </c>
      <c r="AA97" s="50" t="str">
        <f aca="false">'005_Nir2'!$BL10</f>
        <v>Germany</v>
      </c>
      <c r="AB97" s="9"/>
      <c r="AC97" s="9"/>
      <c r="AD97" s="10" t="n">
        <f aca="false">COUNTIF($B$97:$B$128,AA97)*$E$177</f>
        <v>0</v>
      </c>
      <c r="AF97" s="50" t="str">
        <f aca="false">'006_Nir3'!$BL10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'001_MikiZiso3'!$BL11</f>
        <v>Scotland</v>
      </c>
      <c r="H98" s="9"/>
      <c r="I98" s="9"/>
      <c r="J98" s="10" t="n">
        <f aca="false">COUNTIF($B$97:$B$128,G98)*$E$177</f>
        <v>0</v>
      </c>
      <c r="L98" s="50" t="str">
        <f aca="false">'002_MikiZiso2'!$BL11</f>
        <v>Scotland</v>
      </c>
      <c r="M98" s="9"/>
      <c r="N98" s="9"/>
      <c r="O98" s="10" t="n">
        <f aca="false">COUNTIF($B$97:$B$128,L98)*$E$177</f>
        <v>0</v>
      </c>
      <c r="Q98" s="50" t="str">
        <f aca="false">'003_Miki_Ziso'!$BL11</f>
        <v>Scotland</v>
      </c>
      <c r="R98" s="9"/>
      <c r="S98" s="9"/>
      <c r="T98" s="10" t="n">
        <f aca="false">COUNTIF($B$97:$B$128,Q98)*$E$177</f>
        <v>0</v>
      </c>
      <c r="V98" s="50" t="str">
        <f aca="false">'004_Nir1'!$BL11</f>
        <v>Haiti</v>
      </c>
      <c r="W98" s="9"/>
      <c r="X98" s="9"/>
      <c r="Y98" s="10" t="n">
        <f aca="false">COUNTIF($B$97:$B$128,V98)*$E$177</f>
        <v>0</v>
      </c>
      <c r="AA98" s="50" t="str">
        <f aca="false">'005_Nir2'!$BL11</f>
        <v>Mexico</v>
      </c>
      <c r="AB98" s="9"/>
      <c r="AC98" s="9"/>
      <c r="AD98" s="10" t="n">
        <f aca="false">COUNTIF($B$97:$B$128,AA98)*$E$177</f>
        <v>0</v>
      </c>
      <c r="AF98" s="50" t="str">
        <f aca="false">'006_Nir3'!$BL11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'001_MikiZiso3'!$BL14</f>
        <v>Norway</v>
      </c>
      <c r="H99" s="9"/>
      <c r="I99" s="9"/>
      <c r="J99" s="10" t="n">
        <f aca="false">COUNTIF($B$97:$B$128,G99)*$E$177</f>
        <v>0</v>
      </c>
      <c r="L99" s="50" t="str">
        <f aca="false">'002_MikiZiso2'!$BL14</f>
        <v>Norway</v>
      </c>
      <c r="M99" s="9"/>
      <c r="N99" s="9"/>
      <c r="O99" s="10" t="n">
        <f aca="false">COUNTIF($B$97:$B$128,L99)*$E$177</f>
        <v>0</v>
      </c>
      <c r="Q99" s="50" t="str">
        <f aca="false">'003_Miki_Ziso'!$BL14</f>
        <v>Norway</v>
      </c>
      <c r="R99" s="9"/>
      <c r="S99" s="9"/>
      <c r="T99" s="10" t="n">
        <f aca="false">COUNTIF($B$97:$B$128,Q99)*$E$177</f>
        <v>0</v>
      </c>
      <c r="V99" s="50" t="str">
        <f aca="false">'004_Nir1'!$BL14</f>
        <v>Norway</v>
      </c>
      <c r="W99" s="9"/>
      <c r="X99" s="9"/>
      <c r="Y99" s="10" t="n">
        <f aca="false">COUNTIF($B$97:$B$128,V99)*$E$177</f>
        <v>0</v>
      </c>
      <c r="AA99" s="50" t="str">
        <f aca="false">'005_Nir2'!$BL14</f>
        <v>Senegal</v>
      </c>
      <c r="AB99" s="9"/>
      <c r="AC99" s="9"/>
      <c r="AD99" s="10" t="n">
        <f aca="false">COUNTIF($B$97:$B$128,AA99)*$E$177</f>
        <v>0</v>
      </c>
      <c r="AF99" s="50" t="str">
        <f aca="false">'006_Nir3'!$BL14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'001_MikiZiso3'!$BL15</f>
        <v>Australia</v>
      </c>
      <c r="H100" s="9"/>
      <c r="I100" s="9"/>
      <c r="J100" s="10" t="n">
        <f aca="false">COUNTIF($B$97:$B$128,G100)*$E$177</f>
        <v>0</v>
      </c>
      <c r="L100" s="50" t="str">
        <f aca="false">'002_MikiZiso2'!$BL15</f>
        <v>Australia</v>
      </c>
      <c r="M100" s="9"/>
      <c r="N100" s="9"/>
      <c r="O100" s="10" t="n">
        <f aca="false">COUNTIF($B$97:$B$128,L100)*$E$177</f>
        <v>0</v>
      </c>
      <c r="Q100" s="50" t="str">
        <f aca="false">'003_Miki_Ziso'!$BL15</f>
        <v>Sweden</v>
      </c>
      <c r="R100" s="9"/>
      <c r="S100" s="9"/>
      <c r="T100" s="10" t="n">
        <f aca="false">COUNTIF($B$97:$B$128,Q100)*$E$177</f>
        <v>0</v>
      </c>
      <c r="V100" s="50" t="str">
        <f aca="false">'004_Nir1'!$BL15</f>
        <v>Sweden</v>
      </c>
      <c r="W100" s="9"/>
      <c r="X100" s="9"/>
      <c r="Y100" s="10" t="n">
        <f aca="false">COUNTIF($B$97:$B$128,V100)*$E$177</f>
        <v>0</v>
      </c>
      <c r="AA100" s="50" t="str">
        <f aca="false">'005_Nir2'!$BL15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'006_Nir3'!$BL15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'001_MikiZiso3'!$BL18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'002_MikiZiso2'!$BL18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'003_Miki_Ziso'!$BL18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'004_Nir1'!$BL18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'005_Nir2'!$BL18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'006_Nir3'!$BL18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'001_MikiZiso3'!$BL19</f>
        <v>Canada</v>
      </c>
      <c r="H102" s="9"/>
      <c r="I102" s="9"/>
      <c r="J102" s="10" t="n">
        <f aca="false">COUNTIF($B$97:$B$128,G102)*$E$177</f>
        <v>0</v>
      </c>
      <c r="L102" s="50" t="str">
        <f aca="false">'002_MikiZiso2'!$BL19</f>
        <v>Canada</v>
      </c>
      <c r="M102" s="9"/>
      <c r="N102" s="9"/>
      <c r="O102" s="10" t="n">
        <f aca="false">COUNTIF($B$97:$B$128,L102)*$E$177</f>
        <v>0</v>
      </c>
      <c r="Q102" s="50" t="str">
        <f aca="false">'003_Miki_Ziso'!$BL19</f>
        <v>Switzerland</v>
      </c>
      <c r="R102" s="9"/>
      <c r="S102" s="9"/>
      <c r="T102" s="10" t="n">
        <f aca="false">COUNTIF($B$97:$B$128,Q102)*$E$177</f>
        <v>0</v>
      </c>
      <c r="V102" s="50" t="str">
        <f aca="false">'004_Nir1'!$BL19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'005_Nir2'!$BL19</f>
        <v>Canada</v>
      </c>
      <c r="AB102" s="9"/>
      <c r="AC102" s="9"/>
      <c r="AD102" s="10" t="n">
        <f aca="false">COUNTIF($B$97:$B$128,AA102)*$E$177</f>
        <v>0</v>
      </c>
      <c r="AF102" s="50" t="str">
        <f aca="false">'006_Nir3'!$BL19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'001_MikiZiso3'!$BL22</f>
        <v>Japan</v>
      </c>
      <c r="H103" s="9"/>
      <c r="I103" s="9"/>
      <c r="J103" s="10" t="n">
        <f aca="false">COUNTIF($B$97:$B$128,G103)*$E$177</f>
        <v>0</v>
      </c>
      <c r="L103" s="50" t="str">
        <f aca="false">'002_MikiZiso2'!$BL22</f>
        <v>Japan</v>
      </c>
      <c r="M103" s="9"/>
      <c r="N103" s="9"/>
      <c r="O103" s="10" t="n">
        <f aca="false">COUNTIF($B$97:$B$128,L103)*$E$177</f>
        <v>0</v>
      </c>
      <c r="Q103" s="50" t="str">
        <f aca="false">'003_Miki_Ziso'!$BL22</f>
        <v>Japan</v>
      </c>
      <c r="R103" s="9"/>
      <c r="S103" s="9"/>
      <c r="T103" s="10" t="n">
        <f aca="false">COUNTIF($B$97:$B$128,Q103)*$E$177</f>
        <v>0</v>
      </c>
      <c r="V103" s="50" t="str">
        <f aca="false">'004_Nir1'!$BL22</f>
        <v>Tunisia</v>
      </c>
      <c r="W103" s="9"/>
      <c r="X103" s="9"/>
      <c r="Y103" s="10" t="n">
        <f aca="false">COUNTIF($B$97:$B$128,V103)*$E$177</f>
        <v>0</v>
      </c>
      <c r="AA103" s="50" t="str">
        <f aca="false">'005_Nir2'!$BL22</f>
        <v>Japan</v>
      </c>
      <c r="AB103" s="9"/>
      <c r="AC103" s="9"/>
      <c r="AD103" s="10" t="n">
        <f aca="false">COUNTIF($B$97:$B$128,AA103)*$E$177</f>
        <v>0</v>
      </c>
      <c r="AF103" s="50" t="str">
        <f aca="false">'006_Nir3'!$BL22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'001_MikiZiso3'!$BL23</f>
        <v>Morocco</v>
      </c>
      <c r="H104" s="9"/>
      <c r="I104" s="9"/>
      <c r="J104" s="10" t="n">
        <f aca="false">COUNTIF($B$97:$B$128,G104)*$E$177</f>
        <v>0</v>
      </c>
      <c r="L104" s="50" t="str">
        <f aca="false">'002_MikiZiso2'!$BL23</f>
        <v>Brazil</v>
      </c>
      <c r="M104" s="9"/>
      <c r="N104" s="9"/>
      <c r="O104" s="10" t="n">
        <f aca="false">COUNTIF($B$97:$B$128,L104)*$E$177</f>
        <v>0</v>
      </c>
      <c r="Q104" s="50" t="str">
        <f aca="false">'003_Miki_Ziso'!$BL23</f>
        <v>Brazil</v>
      </c>
      <c r="R104" s="9"/>
      <c r="S104" s="9"/>
      <c r="T104" s="10" t="n">
        <f aca="false">COUNTIF($B$97:$B$128,Q104)*$E$177</f>
        <v>0</v>
      </c>
      <c r="V104" s="50" t="str">
        <f aca="false">'004_Nir1'!$BL23</f>
        <v>Brazil</v>
      </c>
      <c r="W104" s="9"/>
      <c r="X104" s="9"/>
      <c r="Y104" s="10" t="n">
        <f aca="false">COUNTIF($B$97:$B$128,V104)*$E$177</f>
        <v>0</v>
      </c>
      <c r="AA104" s="50" t="str">
        <f aca="false">'005_Nir2'!$BL23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'006_Nir3'!$BL23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'001_MikiZiso3'!$BL26</f>
        <v>Portugal</v>
      </c>
      <c r="H105" s="9"/>
      <c r="I105" s="9"/>
      <c r="J105" s="10" t="n">
        <f aca="false">COUNTIF($B$97:$B$128,G105)*$E$177</f>
        <v>0</v>
      </c>
      <c r="L105" s="50" t="str">
        <f aca="false">'002_MikiZiso2'!$BL26</f>
        <v>Portugal</v>
      </c>
      <c r="M105" s="9"/>
      <c r="N105" s="9"/>
      <c r="O105" s="10" t="n">
        <f aca="false">COUNTIF($B$97:$B$128,L105)*$E$177</f>
        <v>0</v>
      </c>
      <c r="Q105" s="50" t="str">
        <f aca="false">'003_Miki_Ziso'!$BL26</f>
        <v>DR Congo</v>
      </c>
      <c r="R105" s="9"/>
      <c r="S105" s="9"/>
      <c r="T105" s="10" t="n">
        <f aca="false">COUNTIF($B$97:$B$128,Q105)*$E$177</f>
        <v>0</v>
      </c>
      <c r="V105" s="50" t="str">
        <f aca="false">'004_Nir1'!$BL26</f>
        <v>Portugal</v>
      </c>
      <c r="W105" s="9"/>
      <c r="X105" s="9"/>
      <c r="Y105" s="10" t="n">
        <f aca="false">COUNTIF($B$97:$B$128,V105)*$E$177</f>
        <v>0</v>
      </c>
      <c r="AA105" s="50" t="str">
        <f aca="false">'005_Nir2'!$BL26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'006_Nir3'!$BL26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'001_MikiZiso3'!$BL27</f>
        <v>Croatia</v>
      </c>
      <c r="H106" s="9"/>
      <c r="I106" s="9"/>
      <c r="J106" s="10" t="n">
        <f aca="false">COUNTIF($B$97:$B$128,G106)*$E$177</f>
        <v>0</v>
      </c>
      <c r="L106" s="50" t="str">
        <f aca="false">'002_MikiZiso2'!$BL27</f>
        <v>Ghana</v>
      </c>
      <c r="M106" s="9"/>
      <c r="N106" s="9"/>
      <c r="O106" s="10" t="n">
        <f aca="false">COUNTIF($B$97:$B$128,L106)*$E$177</f>
        <v>0</v>
      </c>
      <c r="Q106" s="50" t="str">
        <f aca="false">'003_Miki_Ziso'!$BL27</f>
        <v>Ghana</v>
      </c>
      <c r="R106" s="9"/>
      <c r="S106" s="9"/>
      <c r="T106" s="10" t="n">
        <f aca="false">COUNTIF($B$97:$B$128,Q106)*$E$177</f>
        <v>0</v>
      </c>
      <c r="V106" s="50" t="str">
        <f aca="false">'004_Nir1'!$BL27</f>
        <v>Croatia</v>
      </c>
      <c r="W106" s="9"/>
      <c r="X106" s="9"/>
      <c r="Y106" s="10" t="n">
        <f aca="false">COUNTIF($B$97:$B$128,V106)*$E$177</f>
        <v>0</v>
      </c>
      <c r="AA106" s="50" t="str">
        <f aca="false">'005_Nir2'!$BL27</f>
        <v>Ghana</v>
      </c>
      <c r="AB106" s="9"/>
      <c r="AC106" s="9"/>
      <c r="AD106" s="10" t="n">
        <f aca="false">COUNTIF($B$97:$B$128,AA106)*$E$177</f>
        <v>0</v>
      </c>
      <c r="AF106" s="50" t="str">
        <f aca="false">'006_Nir3'!$BL27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'001_MikiZiso3'!$BL30</f>
        <v>Spain</v>
      </c>
      <c r="H107" s="9"/>
      <c r="I107" s="9"/>
      <c r="J107" s="10" t="n">
        <f aca="false">COUNTIF($B$97:$B$128,G107)*$E$177</f>
        <v>0</v>
      </c>
      <c r="L107" s="50" t="str">
        <f aca="false">'002_MikiZiso2'!$BL30</f>
        <v>Spain</v>
      </c>
      <c r="M107" s="9"/>
      <c r="N107" s="9"/>
      <c r="O107" s="10" t="n">
        <f aca="false">COUNTIF($B$97:$B$128,L107)*$E$177</f>
        <v>0</v>
      </c>
      <c r="Q107" s="50" t="str">
        <f aca="false">'003_Miki_Ziso'!$BL30</f>
        <v>Spain</v>
      </c>
      <c r="R107" s="9"/>
      <c r="S107" s="9"/>
      <c r="T107" s="10" t="n">
        <f aca="false">COUNTIF($B$97:$B$128,Q107)*$E$177</f>
        <v>0</v>
      </c>
      <c r="V107" s="50" t="str">
        <f aca="false">'004_Nir1'!$BL30</f>
        <v>Uruguay</v>
      </c>
      <c r="W107" s="9"/>
      <c r="X107" s="9"/>
      <c r="Y107" s="10" t="n">
        <f aca="false">COUNTIF($B$97:$B$128,V107)*$E$177</f>
        <v>0</v>
      </c>
      <c r="AA107" s="50" t="str">
        <f aca="false">'005_Nir2'!$BL30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'006_Nir3'!$BL30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'001_MikiZiso3'!$BL31</f>
        <v>Austria</v>
      </c>
      <c r="H108" s="9"/>
      <c r="I108" s="9"/>
      <c r="J108" s="10" t="n">
        <f aca="false">COUNTIF($B$97:$B$128,G108)*$E$177</f>
        <v>0</v>
      </c>
      <c r="L108" s="50" t="str">
        <f aca="false">'002_MikiZiso2'!$BL31</f>
        <v>Austria</v>
      </c>
      <c r="M108" s="9"/>
      <c r="N108" s="9"/>
      <c r="O108" s="10" t="n">
        <f aca="false">COUNTIF($B$97:$B$128,L108)*$E$177</f>
        <v>0</v>
      </c>
      <c r="Q108" s="50" t="str">
        <f aca="false">'003_Miki_Ziso'!$BL31</f>
        <v>Austria</v>
      </c>
      <c r="R108" s="9"/>
      <c r="S108" s="9"/>
      <c r="T108" s="10" t="n">
        <f aca="false">COUNTIF($B$97:$B$128,Q108)*$E$177</f>
        <v>0</v>
      </c>
      <c r="V108" s="50" t="str">
        <f aca="false">'004_Nir1'!$BL31</f>
        <v>Jordan</v>
      </c>
      <c r="W108" s="9"/>
      <c r="X108" s="9"/>
      <c r="Y108" s="10" t="n">
        <f aca="false">COUNTIF($B$97:$B$128,V108)*$E$177</f>
        <v>0</v>
      </c>
      <c r="AA108" s="50" t="str">
        <f aca="false">'005_Nir2'!$BL31</f>
        <v>Jordan</v>
      </c>
      <c r="AB108" s="9"/>
      <c r="AC108" s="9"/>
      <c r="AD108" s="10" t="n">
        <f aca="false">COUNTIF($B$97:$B$128,AA108)*$E$177</f>
        <v>0</v>
      </c>
      <c r="AF108" s="50" t="str">
        <f aca="false">'006_Nir3'!$BL31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'001_MikiZiso3'!$BL34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'002_MikiZiso2'!$BL34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'003_Miki_Ziso'!$BL34</f>
        <v>Turkey</v>
      </c>
      <c r="R109" s="9"/>
      <c r="S109" s="9"/>
      <c r="T109" s="10" t="n">
        <f aca="false">COUNTIF($B$97:$B$128,Q109)*$E$177</f>
        <v>0</v>
      </c>
      <c r="V109" s="50" t="str">
        <f aca="false">'004_Nir1'!$BL34</f>
        <v>Australia</v>
      </c>
      <c r="W109" s="9"/>
      <c r="X109" s="9"/>
      <c r="Y109" s="10" t="n">
        <f aca="false">COUNTIF($B$97:$B$128,V109)*$E$177</f>
        <v>0</v>
      </c>
      <c r="AA109" s="50" t="str">
        <f aca="false">'005_Nir2'!$BL34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'006_Nir3'!$BL34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'001_MikiZiso3'!$BL35</f>
        <v>Qatar</v>
      </c>
      <c r="H110" s="9"/>
      <c r="I110" s="9"/>
      <c r="J110" s="10" t="n">
        <f aca="false">COUNTIF($B$97:$B$128,G110)*$E$177</f>
        <v>0</v>
      </c>
      <c r="L110" s="50" t="str">
        <f aca="false">'002_MikiZiso2'!$BL35</f>
        <v>Qatar</v>
      </c>
      <c r="M110" s="9"/>
      <c r="N110" s="9"/>
      <c r="O110" s="10" t="n">
        <f aca="false">COUNTIF($B$97:$B$128,L110)*$E$177</f>
        <v>0</v>
      </c>
      <c r="Q110" s="50" t="str">
        <f aca="false">'003_Miki_Ziso'!$BL35</f>
        <v>Algeria</v>
      </c>
      <c r="R110" s="9"/>
      <c r="S110" s="9"/>
      <c r="T110" s="10" t="n">
        <f aca="false">COUNTIF($B$97:$B$128,Q110)*$E$177</f>
        <v>0</v>
      </c>
      <c r="V110" s="50" t="str">
        <f aca="false">'004_Nir1'!$BL35</f>
        <v>Canada</v>
      </c>
      <c r="W110" s="9"/>
      <c r="X110" s="9"/>
      <c r="Y110" s="10" t="n">
        <f aca="false">COUNTIF($B$97:$B$128,V110)*$E$177</f>
        <v>0</v>
      </c>
      <c r="AA110" s="50" t="str">
        <f aca="false">'005_Nir2'!$BL35</f>
        <v>Qatar</v>
      </c>
      <c r="AB110" s="9"/>
      <c r="AC110" s="9"/>
      <c r="AD110" s="10" t="n">
        <f aca="false">COUNTIF($B$97:$B$128,AA110)*$E$177</f>
        <v>0</v>
      </c>
      <c r="AF110" s="50" t="str">
        <f aca="false">'006_Nir3'!$BL35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'001_MikiZiso3'!$BL38</f>
        <v>Belgium</v>
      </c>
      <c r="H111" s="9"/>
      <c r="I111" s="9"/>
      <c r="J111" s="10" t="n">
        <f aca="false">COUNTIF($B$97:$B$128,G111)*$E$177</f>
        <v>0</v>
      </c>
      <c r="L111" s="50" t="str">
        <f aca="false">'002_MikiZiso2'!$BL38</f>
        <v>Belgium</v>
      </c>
      <c r="M111" s="9"/>
      <c r="N111" s="9"/>
      <c r="O111" s="10" t="n">
        <f aca="false">COUNTIF($B$97:$B$128,L111)*$E$177</f>
        <v>0</v>
      </c>
      <c r="Q111" s="50" t="str">
        <f aca="false">'003_Miki_Ziso'!$BL38</f>
        <v>Egypt</v>
      </c>
      <c r="R111" s="9"/>
      <c r="S111" s="9"/>
      <c r="T111" s="10" t="n">
        <f aca="false">COUNTIF($B$97:$B$128,Q111)*$E$177</f>
        <v>0</v>
      </c>
      <c r="V111" s="50" t="str">
        <f aca="false">'004_Nir1'!$BL38</f>
        <v>Iran</v>
      </c>
      <c r="W111" s="9"/>
      <c r="X111" s="9"/>
      <c r="Y111" s="10" t="n">
        <f aca="false">COUNTIF($B$97:$B$128,V111)*$E$177</f>
        <v>0</v>
      </c>
      <c r="AA111" s="50" t="str">
        <f aca="false">'005_Nir2'!$BL38</f>
        <v>Egypt</v>
      </c>
      <c r="AB111" s="9"/>
      <c r="AC111" s="9"/>
      <c r="AD111" s="10" t="n">
        <f aca="false">COUNTIF($B$97:$B$128,AA111)*$E$177</f>
        <v>0</v>
      </c>
      <c r="AF111" s="50" t="str">
        <f aca="false">'006_Nir3'!$BL38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'001_MikiZiso3'!$BL39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'002_MikiZiso2'!$BL39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'003_Miki_Ziso'!$BL39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'004_Nir1'!$BL39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'005_Nir2'!$BL39</f>
        <v>Norway</v>
      </c>
      <c r="AB112" s="9"/>
      <c r="AC112" s="9"/>
      <c r="AD112" s="10" t="n">
        <f aca="false">COUNTIF($B$97:$B$128,AA112)*$E$177</f>
        <v>0</v>
      </c>
      <c r="AF112" s="50" t="str">
        <f aca="false">'006_Nir3'!$BL39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'001_MikiZiso3'!$BL42</f>
        <v>Brazil</v>
      </c>
      <c r="H113" s="9"/>
      <c r="I113" s="9"/>
      <c r="J113" s="10" t="n">
        <f aca="false">COUNTIF($B$97:$B$128,G113)*$E$177</f>
        <v>0</v>
      </c>
      <c r="L113" s="50" t="str">
        <f aca="false">'002_MikiZiso2'!$BL42</f>
        <v>Morocco</v>
      </c>
      <c r="M113" s="9"/>
      <c r="N113" s="9"/>
      <c r="O113" s="10" t="n">
        <f aca="false">COUNTIF($B$97:$B$128,L113)*$E$177</f>
        <v>0</v>
      </c>
      <c r="Q113" s="50" t="str">
        <f aca="false">'003_Miki_Ziso'!$BL42</f>
        <v>Morocco</v>
      </c>
      <c r="R113" s="9"/>
      <c r="S113" s="9"/>
      <c r="T113" s="10" t="n">
        <f aca="false">COUNTIF($B$97:$B$128,Q113)*$E$177</f>
        <v>0</v>
      </c>
      <c r="V113" s="50" t="str">
        <f aca="false">'004_Nir1'!$BL42</f>
        <v>Scotland</v>
      </c>
      <c r="W113" s="9"/>
      <c r="X113" s="9"/>
      <c r="Y113" s="10" t="n">
        <f aca="false">COUNTIF($B$97:$B$128,V113)*$E$177</f>
        <v>0</v>
      </c>
      <c r="AA113" s="50" t="str">
        <f aca="false">'005_Nir2'!$BL42</f>
        <v>Brazil</v>
      </c>
      <c r="AB113" s="9"/>
      <c r="AC113" s="9"/>
      <c r="AD113" s="10" t="n">
        <f aca="false">COUNTIF($B$97:$B$128,AA113)*$E$177</f>
        <v>0</v>
      </c>
      <c r="AF113" s="50" t="str">
        <f aca="false">'006_Nir3'!$BL42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'001_MikiZiso3'!$BL43</f>
        <v>Netherlands</v>
      </c>
      <c r="H114" s="9"/>
      <c r="I114" s="9"/>
      <c r="J114" s="10" t="n">
        <f aca="false">COUNTIF($B$97:$B$128,G114)*$E$177</f>
        <v>0</v>
      </c>
      <c r="L114" s="50" t="str">
        <f aca="false">'002_MikiZiso2'!$BL43</f>
        <v>Netherlands</v>
      </c>
      <c r="M114" s="9"/>
      <c r="N114" s="9"/>
      <c r="O114" s="10" t="n">
        <f aca="false">COUNTIF($B$97:$B$128,L114)*$E$177</f>
        <v>0</v>
      </c>
      <c r="Q114" s="50" t="str">
        <f aca="false">'003_Miki_Ziso'!$BL43</f>
        <v>Netherlands</v>
      </c>
      <c r="R114" s="9"/>
      <c r="S114" s="9"/>
      <c r="T114" s="10" t="n">
        <f aca="false">COUNTIF($B$97:$B$128,Q114)*$E$177</f>
        <v>0</v>
      </c>
      <c r="V114" s="50" t="str">
        <f aca="false">'004_Nir1'!$BL43</f>
        <v>Japan</v>
      </c>
      <c r="W114" s="9"/>
      <c r="X114" s="9"/>
      <c r="Y114" s="10" t="n">
        <f aca="false">COUNTIF($B$97:$B$128,V114)*$E$177</f>
        <v>0</v>
      </c>
      <c r="AA114" s="50" t="str">
        <f aca="false">'005_Nir2'!$BL43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'006_Nir3'!$BL43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'001_MikiZiso3'!$BL46</f>
        <v>Ivory Coast</v>
      </c>
      <c r="H115" s="9"/>
      <c r="I115" s="9"/>
      <c r="J115" s="10" t="n">
        <f aca="false">COUNTIF($B$97:$B$128,G115)*$E$177</f>
        <v>0</v>
      </c>
      <c r="L115" s="50" t="str">
        <f aca="false">'002_MikiZiso2'!$BL46</f>
        <v>Ivory Coast</v>
      </c>
      <c r="M115" s="9"/>
      <c r="N115" s="9"/>
      <c r="O115" s="10" t="n">
        <f aca="false">COUNTIF($B$97:$B$128,L115)*$E$177</f>
        <v>0</v>
      </c>
      <c r="Q115" s="50" t="str">
        <f aca="false">'003_Miki_Ziso'!$BL46</f>
        <v>Ivory Coast</v>
      </c>
      <c r="R115" s="9"/>
      <c r="S115" s="9"/>
      <c r="T115" s="10" t="n">
        <f aca="false">COUNTIF($B$97:$B$128,Q115)*$E$177</f>
        <v>0</v>
      </c>
      <c r="V115" s="50" t="str">
        <f aca="false">'004_Nir1'!$BL46</f>
        <v>Germany</v>
      </c>
      <c r="W115" s="9"/>
      <c r="X115" s="9"/>
      <c r="Y115" s="10" t="n">
        <f aca="false">COUNTIF($B$97:$B$128,V115)*$E$177</f>
        <v>0</v>
      </c>
      <c r="AA115" s="50" t="str">
        <f aca="false">'005_Nir2'!$BL46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'006_Nir3'!$BL46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'001_MikiZiso3'!$BL47</f>
        <v>France</v>
      </c>
      <c r="H116" s="9"/>
      <c r="I116" s="9"/>
      <c r="J116" s="10" t="n">
        <f aca="false">COUNTIF($B$97:$B$128,G116)*$E$177</f>
        <v>0</v>
      </c>
      <c r="L116" s="50" t="str">
        <f aca="false">'002_MikiZiso2'!$BL47</f>
        <v>France</v>
      </c>
      <c r="M116" s="9"/>
      <c r="N116" s="9"/>
      <c r="O116" s="10" t="n">
        <f aca="false">COUNTIF($B$97:$B$128,L116)*$E$177</f>
        <v>0</v>
      </c>
      <c r="Q116" s="50" t="str">
        <f aca="false">'003_Miki_Ziso'!$BL47</f>
        <v>Iraq</v>
      </c>
      <c r="R116" s="9"/>
      <c r="S116" s="9"/>
      <c r="T116" s="10" t="n">
        <f aca="false">COUNTIF($B$97:$B$128,Q116)*$E$177</f>
        <v>0</v>
      </c>
      <c r="V116" s="50" t="str">
        <f aca="false">'004_Nir1'!$BL47</f>
        <v>Iraq</v>
      </c>
      <c r="W116" s="9"/>
      <c r="X116" s="9"/>
      <c r="Y116" s="10" t="n">
        <f aca="false">COUNTIF($B$97:$B$128,V116)*$E$177</f>
        <v>0</v>
      </c>
      <c r="AA116" s="50" t="str">
        <f aca="false">'005_Nir2'!$BL47</f>
        <v>France</v>
      </c>
      <c r="AB116" s="9"/>
      <c r="AC116" s="9"/>
      <c r="AD116" s="10" t="n">
        <f aca="false">COUNTIF($B$97:$B$128,AA116)*$E$177</f>
        <v>0</v>
      </c>
      <c r="AF116" s="50" t="str">
        <f aca="false">'006_Nir3'!$BL47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'001_MikiZiso3'!$BL50</f>
        <v>Mexico</v>
      </c>
      <c r="H117" s="9"/>
      <c r="I117" s="9"/>
      <c r="J117" s="10" t="n">
        <f aca="false">COUNTIF($B$97:$B$128,G117)*$E$177</f>
        <v>0</v>
      </c>
      <c r="L117" s="50" t="str">
        <f aca="false">'002_MikiZiso2'!$BL50</f>
        <v>Mexico</v>
      </c>
      <c r="M117" s="9"/>
      <c r="N117" s="9"/>
      <c r="O117" s="10" t="n">
        <f aca="false">COUNTIF($B$97:$B$128,L117)*$E$177</f>
        <v>0</v>
      </c>
      <c r="Q117" s="50" t="str">
        <f aca="false">'003_Miki_Ziso'!$BL50</f>
        <v>Mexico</v>
      </c>
      <c r="R117" s="9"/>
      <c r="S117" s="9"/>
      <c r="T117" s="10" t="n">
        <f aca="false">COUNTIF($B$97:$B$128,Q117)*$E$177</f>
        <v>0</v>
      </c>
      <c r="V117" s="50" t="str">
        <f aca="false">'004_Nir1'!$BL50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'005_Nir2'!$BL50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'006_Nir3'!$BL50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'001_MikiZiso3'!$BL51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'002_MikiZiso2'!$BL51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'003_Miki_Ziso'!$BL51</f>
        <v>Senegal</v>
      </c>
      <c r="R118" s="9"/>
      <c r="S118" s="9"/>
      <c r="T118" s="10" t="n">
        <f aca="false">COUNTIF($B$97:$B$128,Q118)*$E$177</f>
        <v>0</v>
      </c>
      <c r="V118" s="50" t="str">
        <f aca="false">'004_Nir1'!$BL51</f>
        <v>Cape Verde</v>
      </c>
      <c r="W118" s="9"/>
      <c r="X118" s="9"/>
      <c r="Y118" s="10" t="n">
        <f aca="false">COUNTIF($B$97:$B$128,V118)*$E$177</f>
        <v>0</v>
      </c>
      <c r="AA118" s="50" t="str">
        <f aca="false">'005_Nir2'!$BL51</f>
        <v>Spain</v>
      </c>
      <c r="AB118" s="9"/>
      <c r="AC118" s="9"/>
      <c r="AD118" s="10" t="n">
        <f aca="false">COUNTIF($B$97:$B$128,AA118)*$E$177</f>
        <v>0</v>
      </c>
      <c r="AF118" s="50" t="str">
        <f aca="false">'006_Nir3'!$BL51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'001_MikiZiso3'!$BL54</f>
        <v>England</v>
      </c>
      <c r="H119" s="9"/>
      <c r="I119" s="9"/>
      <c r="J119" s="10" t="n">
        <f aca="false">COUNTIF($B$97:$B$128,G119)*$E$177</f>
        <v>0</v>
      </c>
      <c r="L119" s="50" t="str">
        <f aca="false">'002_MikiZiso2'!$BL54</f>
        <v>England</v>
      </c>
      <c r="M119" s="9"/>
      <c r="N119" s="9"/>
      <c r="O119" s="10" t="n">
        <f aca="false">COUNTIF($B$97:$B$128,L119)*$E$177</f>
        <v>0</v>
      </c>
      <c r="Q119" s="50" t="str">
        <f aca="false">'003_Miki_Ziso'!$BL54</f>
        <v>England</v>
      </c>
      <c r="R119" s="9"/>
      <c r="S119" s="9"/>
      <c r="T119" s="10" t="n">
        <f aca="false">COUNTIF($B$97:$B$128,Q119)*$E$177</f>
        <v>0</v>
      </c>
      <c r="V119" s="50" t="str">
        <f aca="false">'004_Nir1'!$BL54</f>
        <v>England</v>
      </c>
      <c r="W119" s="9"/>
      <c r="X119" s="9"/>
      <c r="Y119" s="10" t="n">
        <f aca="false">COUNTIF($B$97:$B$128,V119)*$E$177</f>
        <v>0</v>
      </c>
      <c r="AA119" s="50" t="str">
        <f aca="false">'005_Nir2'!$BL54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'006_Nir3'!$BL54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'001_MikiZiso3'!$BL55</f>
        <v>Algeria</v>
      </c>
      <c r="H120" s="9"/>
      <c r="I120" s="9"/>
      <c r="J120" s="10" t="n">
        <f aca="false">COUNTIF($B$97:$B$128,G120)*$E$177</f>
        <v>0</v>
      </c>
      <c r="L120" s="50" t="str">
        <f aca="false">'002_MikiZiso2'!$BL55</f>
        <v>Algeria</v>
      </c>
      <c r="M120" s="9"/>
      <c r="N120" s="9"/>
      <c r="O120" s="10" t="n">
        <f aca="false">COUNTIF($B$97:$B$128,L120)*$E$177</f>
        <v>0</v>
      </c>
      <c r="Q120" s="50" t="str">
        <f aca="false">'003_Miki_Ziso'!$BL55</f>
        <v>Portugal</v>
      </c>
      <c r="R120" s="9"/>
      <c r="S120" s="9"/>
      <c r="T120" s="10" t="n">
        <f aca="false">COUNTIF($B$97:$B$128,Q120)*$E$177</f>
        <v>0</v>
      </c>
      <c r="V120" s="50" t="str">
        <f aca="false">'004_Nir1'!$BL55</f>
        <v>Senegal</v>
      </c>
      <c r="W120" s="9"/>
      <c r="X120" s="9"/>
      <c r="Y120" s="10" t="n">
        <f aca="false">COUNTIF($B$97:$B$128,V120)*$E$177</f>
        <v>0</v>
      </c>
      <c r="AA120" s="50" t="str">
        <f aca="false">'005_Nir2'!$BL55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'006_Nir3'!$BL55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'001_MikiZiso3'!$BL58</f>
        <v>Argentina</v>
      </c>
      <c r="H121" s="9"/>
      <c r="I121" s="9"/>
      <c r="J121" s="10" t="n">
        <f aca="false">COUNTIF($B$97:$B$128,G121)*$E$177</f>
        <v>0</v>
      </c>
      <c r="L121" s="50" t="str">
        <f aca="false">'002_MikiZiso2'!$BL58</f>
        <v>Argentina</v>
      </c>
      <c r="M121" s="9"/>
      <c r="N121" s="9"/>
      <c r="O121" s="10" t="n">
        <f aca="false">COUNTIF($B$97:$B$128,L121)*$E$177</f>
        <v>0</v>
      </c>
      <c r="Q121" s="50" t="str">
        <f aca="false">'003_Miki_Ziso'!$BL58</f>
        <v>Argentina</v>
      </c>
      <c r="R121" s="9"/>
      <c r="S121" s="9"/>
      <c r="T121" s="10" t="n">
        <f aca="false">COUNTIF($B$97:$B$128,Q121)*$E$177</f>
        <v>0</v>
      </c>
      <c r="V121" s="50" t="str">
        <f aca="false">'004_Nir1'!$BL58</f>
        <v>Algeria</v>
      </c>
      <c r="W121" s="9"/>
      <c r="X121" s="9"/>
      <c r="Y121" s="10" t="n">
        <f aca="false">COUNTIF($B$97:$B$128,V121)*$E$177</f>
        <v>0</v>
      </c>
      <c r="AA121" s="50" t="str">
        <f aca="false">'005_Nir2'!$BL58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'006_Nir3'!$BL58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'001_MikiZiso3'!$BL59</f>
        <v>Uruguay</v>
      </c>
      <c r="H122" s="9"/>
      <c r="I122" s="9"/>
      <c r="J122" s="10" t="n">
        <f aca="false">COUNTIF($B$97:$B$128,G122)*$E$177</f>
        <v>0</v>
      </c>
      <c r="L122" s="50" t="str">
        <f aca="false">'002_MikiZiso2'!$BL59</f>
        <v>Uruguay</v>
      </c>
      <c r="M122" s="9"/>
      <c r="N122" s="9"/>
      <c r="O122" s="10" t="n">
        <f aca="false">COUNTIF($B$97:$B$128,L122)*$E$177</f>
        <v>0</v>
      </c>
      <c r="Q122" s="50" t="str">
        <f aca="false">'003_Miki_Ziso'!$BL59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'004_Nir1'!$BL59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'005_Nir2'!$BL59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'006_Nir3'!$BL59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'001_MikiZiso3'!$BL62</f>
        <v>Turkey</v>
      </c>
      <c r="H123" s="9"/>
      <c r="I123" s="9"/>
      <c r="J123" s="10" t="n">
        <f aca="false">COUNTIF($B$97:$B$128,G123)*$E$177</f>
        <v>0</v>
      </c>
      <c r="L123" s="50" t="str">
        <f aca="false">'002_MikiZiso2'!$BL62</f>
        <v>Turkey</v>
      </c>
      <c r="M123" s="9"/>
      <c r="N123" s="9"/>
      <c r="O123" s="10" t="n">
        <f aca="false">COUNTIF($B$97:$B$128,L123)*$E$177</f>
        <v>0</v>
      </c>
      <c r="Q123" s="50" t="str">
        <f aca="false">'003_Miki_Ziso'!$BL62</f>
        <v>Paraguay</v>
      </c>
      <c r="R123" s="9"/>
      <c r="S123" s="9"/>
      <c r="T123" s="10" t="n">
        <f aca="false">COUNTIF($B$97:$B$128,Q123)*$E$177</f>
        <v>0</v>
      </c>
      <c r="V123" s="50" t="str">
        <f aca="false">'004_Nir1'!$BL62</f>
        <v>Paraguay</v>
      </c>
      <c r="W123" s="9"/>
      <c r="X123" s="9"/>
      <c r="Y123" s="10" t="n">
        <f aca="false">COUNTIF($B$97:$B$128,V123)*$E$177</f>
        <v>0</v>
      </c>
      <c r="AA123" s="50" t="str">
        <f aca="false">'005_Nir2'!$BL62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'006_Nir3'!$BL62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'001_MikiZiso3'!$BL63</f>
        <v>Egypt</v>
      </c>
      <c r="H124" s="9"/>
      <c r="I124" s="9"/>
      <c r="J124" s="10" t="n">
        <f aca="false">COUNTIF($B$97:$B$128,G124)*$E$177</f>
        <v>0</v>
      </c>
      <c r="L124" s="50" t="str">
        <f aca="false">'002_MikiZiso2'!$BL63</f>
        <v>Egypt</v>
      </c>
      <c r="M124" s="9"/>
      <c r="N124" s="9"/>
      <c r="O124" s="10" t="n">
        <f aca="false">COUNTIF($B$97:$B$128,L124)*$E$177</f>
        <v>0</v>
      </c>
      <c r="Q124" s="50" t="str">
        <f aca="false">'003_Miki_Ziso'!$BL63</f>
        <v>Belgium</v>
      </c>
      <c r="R124" s="9"/>
      <c r="S124" s="9"/>
      <c r="T124" s="10" t="n">
        <f aca="false">COUNTIF($B$97:$B$128,Q124)*$E$177</f>
        <v>0</v>
      </c>
      <c r="V124" s="50" t="str">
        <f aca="false">'004_Nir1'!$BL63</f>
        <v>Belgium</v>
      </c>
      <c r="W124" s="9"/>
      <c r="X124" s="9"/>
      <c r="Y124" s="10" t="n">
        <f aca="false">COUNTIF($B$97:$B$128,V124)*$E$177</f>
        <v>0</v>
      </c>
      <c r="AA124" s="50" t="str">
        <f aca="false">'005_Nir2'!$BL63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'006_Nir3'!$BL63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'001_MikiZiso3'!$BL66</f>
        <v>Switzerland</v>
      </c>
      <c r="H125" s="9"/>
      <c r="I125" s="9"/>
      <c r="J125" s="10" t="n">
        <f aca="false">COUNTIF($B$97:$B$128,G125)*$E$177</f>
        <v>0</v>
      </c>
      <c r="L125" s="50" t="str">
        <f aca="false">'002_MikiZiso2'!$BL66</f>
        <v>Switzerland</v>
      </c>
      <c r="M125" s="9"/>
      <c r="N125" s="9"/>
      <c r="O125" s="10" t="n">
        <f aca="false">COUNTIF($B$97:$B$128,L125)*$E$177</f>
        <v>0</v>
      </c>
      <c r="Q125" s="50" t="str">
        <f aca="false">'003_Miki_Ziso'!$BL66</f>
        <v>Canada</v>
      </c>
      <c r="R125" s="9"/>
      <c r="S125" s="9"/>
      <c r="T125" s="10" t="n">
        <f aca="false">COUNTIF($B$97:$B$128,Q125)*$E$177</f>
        <v>0</v>
      </c>
      <c r="V125" s="50" t="str">
        <f aca="false">'004_Nir1'!$BL66</f>
        <v>Qatar</v>
      </c>
      <c r="W125" s="9"/>
      <c r="X125" s="9"/>
      <c r="Y125" s="10" t="n">
        <f aca="false">COUNTIF($B$97:$B$128,V125)*$E$177</f>
        <v>0</v>
      </c>
      <c r="AA125" s="50" t="str">
        <f aca="false">'005_Nir2'!$BL66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'006_Nir3'!$BL66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'001_MikiZiso3'!$BL67</f>
        <v>New Zealand</v>
      </c>
      <c r="H126" s="9"/>
      <c r="I126" s="9"/>
      <c r="J126" s="10" t="n">
        <f aca="false">COUNTIF($B$97:$B$128,G126)*$E$177</f>
        <v>0</v>
      </c>
      <c r="L126" s="50" t="str">
        <f aca="false">'002_MikiZiso2'!$BL67</f>
        <v>New Zealand</v>
      </c>
      <c r="M126" s="9"/>
      <c r="N126" s="9"/>
      <c r="O126" s="10" t="n">
        <f aca="false">COUNTIF($B$97:$B$128,L126)*$E$177</f>
        <v>0</v>
      </c>
      <c r="Q126" s="50" t="str">
        <f aca="false">'003_Miki_Ziso'!$BL67</f>
        <v>New Zealand</v>
      </c>
      <c r="R126" s="9"/>
      <c r="S126" s="9"/>
      <c r="T126" s="10" t="n">
        <f aca="false">COUNTIF($B$97:$B$128,Q126)*$E$177</f>
        <v>0</v>
      </c>
      <c r="V126" s="50" t="str">
        <f aca="false">'004_Nir1'!$BL67</f>
        <v>Austria</v>
      </c>
      <c r="W126" s="9"/>
      <c r="X126" s="9"/>
      <c r="Y126" s="10" t="n">
        <f aca="false">COUNTIF($B$97:$B$128,V126)*$E$177</f>
        <v>0</v>
      </c>
      <c r="AA126" s="50" t="str">
        <f aca="false">'005_Nir2'!$BL67</f>
        <v>Iran</v>
      </c>
      <c r="AB126" s="9"/>
      <c r="AC126" s="9"/>
      <c r="AD126" s="10" t="n">
        <f aca="false">COUNTIF($B$97:$B$128,AA126)*$E$177</f>
        <v>0</v>
      </c>
      <c r="AF126" s="50" t="str">
        <f aca="false">'006_Nir3'!$BL67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'001_MikiZiso3'!$BL70</f>
        <v>Colombia</v>
      </c>
      <c r="H127" s="9"/>
      <c r="I127" s="9"/>
      <c r="J127" s="10" t="n">
        <f aca="false">COUNTIF($B$97:$B$128,G127)*$E$177</f>
        <v>0</v>
      </c>
      <c r="L127" s="50" t="str">
        <f aca="false">'002_MikiZiso2'!$BL70</f>
        <v>Colombia</v>
      </c>
      <c r="M127" s="9"/>
      <c r="N127" s="9"/>
      <c r="O127" s="10" t="n">
        <f aca="false">COUNTIF($B$97:$B$128,L127)*$E$177</f>
        <v>0</v>
      </c>
      <c r="Q127" s="50" t="str">
        <f aca="false">'003_Miki_Ziso'!$BL70</f>
        <v>Colombia</v>
      </c>
      <c r="R127" s="9"/>
      <c r="S127" s="9"/>
      <c r="T127" s="10" t="n">
        <f aca="false">COUNTIF($B$97:$B$128,Q127)*$E$177</f>
        <v>0</v>
      </c>
      <c r="V127" s="50" t="str">
        <f aca="false">'004_Nir1'!$BL70</f>
        <v>Colombia</v>
      </c>
      <c r="W127" s="9"/>
      <c r="X127" s="9"/>
      <c r="Y127" s="10" t="n">
        <f aca="false">COUNTIF($B$97:$B$128,V127)*$E$177</f>
        <v>0</v>
      </c>
      <c r="AA127" s="50" t="str">
        <f aca="false">'005_Nir2'!$BL70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'006_Nir3'!$BL70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'001_MikiZiso3'!$BL71</f>
        <v>Ghana</v>
      </c>
      <c r="H128" s="9"/>
      <c r="I128" s="9"/>
      <c r="J128" s="10" t="n">
        <f aca="false">COUNTIF($B$97:$B$128,G128)*$E$177</f>
        <v>0</v>
      </c>
      <c r="L128" s="50" t="str">
        <f aca="false">'002_MikiZiso2'!$BL71</f>
        <v>Croatia</v>
      </c>
      <c r="M128" s="9"/>
      <c r="N128" s="9"/>
      <c r="O128" s="10" t="n">
        <f aca="false">COUNTIF($B$97:$B$128,L128)*$E$177</f>
        <v>0</v>
      </c>
      <c r="Q128" s="50" t="str">
        <f aca="false">'003_Miki_Ziso'!$BL71</f>
        <v>Croatia</v>
      </c>
      <c r="R128" s="9"/>
      <c r="S128" s="9"/>
      <c r="T128" s="10" t="n">
        <f aca="false">COUNTIF($B$97:$B$128,Q128)*$E$177</f>
        <v>0</v>
      </c>
      <c r="V128" s="50" t="str">
        <f aca="false">'004_Nir1'!$BL71</f>
        <v>Turkey</v>
      </c>
      <c r="W128" s="9"/>
      <c r="X128" s="9"/>
      <c r="Y128" s="10" t="n">
        <f aca="false">COUNTIF($B$97:$B$128,V128)*$E$177</f>
        <v>0</v>
      </c>
      <c r="AA128" s="50" t="str">
        <f aca="false">'005_Nir2'!$BL71</f>
        <v>Panama</v>
      </c>
      <c r="AB128" s="9"/>
      <c r="AC128" s="9"/>
      <c r="AD128" s="10" t="n">
        <f aca="false">COUNTIF($B$97:$B$128,AA128)*$E$177</f>
        <v>0</v>
      </c>
      <c r="AF128" s="50" t="str">
        <f aca="false">'006_Nir3'!$BL71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'001_MikiZiso3'!$BS12</f>
        <v>Germany</v>
      </c>
      <c r="H131" s="9"/>
      <c r="I131" s="9"/>
      <c r="J131" s="10" t="n">
        <f aca="false">COUNTIF($B$131:$B$146,G131)*$E$178</f>
        <v>0</v>
      </c>
      <c r="L131" s="9" t="str">
        <f aca="false">'002_MikiZiso2'!$BS12</f>
        <v>Germany</v>
      </c>
      <c r="M131" s="9"/>
      <c r="N131" s="9"/>
      <c r="O131" s="10" t="n">
        <f aca="false">COUNTIF($B$131:$B$146,L131)*$E$178</f>
        <v>0</v>
      </c>
      <c r="Q131" s="9" t="str">
        <f aca="false">'003_Miki_Ziso'!$BS12</f>
        <v>Germany</v>
      </c>
      <c r="R131" s="9"/>
      <c r="S131" s="9"/>
      <c r="T131" s="10" t="n">
        <f aca="false">COUNTIF($B$131:$B$146,Q131)*$E$178</f>
        <v>0</v>
      </c>
      <c r="V131" s="9" t="str">
        <f aca="false">'004_Nir1'!$BS12</f>
        <v>Haiti</v>
      </c>
      <c r="W131" s="9"/>
      <c r="X131" s="9"/>
      <c r="Y131" s="10" t="n">
        <f aca="false">COUNTIF($B$131:$B$146,V131)*$E$178</f>
        <v>0</v>
      </c>
      <c r="AA131" s="9" t="str">
        <f aca="false">'005_Nir2'!$BS12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'006_Nir3'!$BS12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'001_MikiZiso3'!$BS13</f>
        <v>Norway</v>
      </c>
      <c r="H132" s="9"/>
      <c r="I132" s="9"/>
      <c r="J132" s="10" t="n">
        <f aca="false">COUNTIF($B$131:$B$146,G132)*$E$178</f>
        <v>0</v>
      </c>
      <c r="L132" s="9" t="str">
        <f aca="false">'002_MikiZiso2'!$BS13</f>
        <v>Norway</v>
      </c>
      <c r="M132" s="9"/>
      <c r="N132" s="9"/>
      <c r="O132" s="10" t="n">
        <f aca="false">COUNTIF($B$131:$B$146,L132)*$E$178</f>
        <v>0</v>
      </c>
      <c r="Q132" s="9" t="str">
        <f aca="false">'003_Miki_Ziso'!$BS13</f>
        <v>Norway</v>
      </c>
      <c r="R132" s="9"/>
      <c r="S132" s="9"/>
      <c r="T132" s="10" t="n">
        <f aca="false">COUNTIF($B$131:$B$146,Q132)*$E$178</f>
        <v>0</v>
      </c>
      <c r="V132" s="9" t="str">
        <f aca="false">'004_Nir1'!$BS13</f>
        <v>Norway</v>
      </c>
      <c r="W132" s="9"/>
      <c r="X132" s="9"/>
      <c r="Y132" s="10" t="n">
        <f aca="false">COUNTIF($B$131:$B$146,V132)*$E$178</f>
        <v>0</v>
      </c>
      <c r="AA132" s="9" t="str">
        <f aca="false">'005_Nir2'!$BS13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'006_Nir3'!$BS13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'001_MikiZiso3'!$BS20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'002_MikiZiso2'!$BS20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'003_Miki_Ziso'!$BS20</f>
        <v>Switzerland</v>
      </c>
      <c r="R133" s="9"/>
      <c r="S133" s="9"/>
      <c r="T133" s="10" t="n">
        <f aca="false">COUNTIF($B$131:$B$146,Q133)*$E$178</f>
        <v>0</v>
      </c>
      <c r="V133" s="9" t="str">
        <f aca="false">'004_Nir1'!$BS20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'005_Nir2'!$BS20</f>
        <v>Canada</v>
      </c>
      <c r="AB133" s="9"/>
      <c r="AC133" s="9"/>
      <c r="AD133" s="10" t="n">
        <f aca="false">COUNTIF($B$131:$B$146,AA133)*$E$178</f>
        <v>0</v>
      </c>
      <c r="AF133" s="9" t="str">
        <f aca="false">'006_Nir3'!$BS20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'001_MikiZiso3'!$BS21</f>
        <v>Japan</v>
      </c>
      <c r="H134" s="55"/>
      <c r="I134" s="55"/>
      <c r="J134" s="10" t="n">
        <f aca="false">COUNTIF($B$131:$B$146,G134)*$E$178</f>
        <v>0</v>
      </c>
      <c r="L134" s="9" t="str">
        <f aca="false">'002_MikiZiso2'!$BS21</f>
        <v>Brazil</v>
      </c>
      <c r="M134" s="55"/>
      <c r="N134" s="55"/>
      <c r="O134" s="10" t="n">
        <f aca="false">COUNTIF($B$131:$B$146,L134)*$E$178</f>
        <v>0</v>
      </c>
      <c r="Q134" s="9" t="str">
        <f aca="false">'003_Miki_Ziso'!$BS21</f>
        <v>Brazil</v>
      </c>
      <c r="R134" s="55"/>
      <c r="S134" s="55"/>
      <c r="T134" s="10" t="n">
        <f aca="false">COUNTIF($B$131:$B$146,Q134)*$E$178</f>
        <v>0</v>
      </c>
      <c r="V134" s="9" t="str">
        <f aca="false">'004_Nir1'!$BS21</f>
        <v>Brazil</v>
      </c>
      <c r="W134" s="55"/>
      <c r="X134" s="55"/>
      <c r="Y134" s="10" t="n">
        <f aca="false">COUNTIF($B$131:$B$146,V134)*$E$178</f>
        <v>0</v>
      </c>
      <c r="AA134" s="9" t="str">
        <f aca="false">'005_Nir2'!$BS21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'006_Nir3'!$BS21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'001_MikiZiso3'!$BS28</f>
        <v>Portugal</v>
      </c>
      <c r="H135" s="55"/>
      <c r="I135" s="55"/>
      <c r="J135" s="10" t="n">
        <f aca="false">COUNTIF($B$131:$B$146,G135)*$E$178</f>
        <v>0</v>
      </c>
      <c r="L135" s="9" t="str">
        <f aca="false">'002_MikiZiso2'!$BS28</f>
        <v>Portugal</v>
      </c>
      <c r="M135" s="55"/>
      <c r="N135" s="55"/>
      <c r="O135" s="10" t="n">
        <f aca="false">COUNTIF($B$131:$B$146,L135)*$E$178</f>
        <v>0</v>
      </c>
      <c r="Q135" s="9" t="str">
        <f aca="false">'003_Miki_Ziso'!$BS28</f>
        <v>Ghana</v>
      </c>
      <c r="R135" s="55"/>
      <c r="S135" s="55"/>
      <c r="T135" s="10" t="n">
        <f aca="false">COUNTIF($B$131:$B$146,Q135)*$E$178</f>
        <v>0</v>
      </c>
      <c r="V135" s="9" t="str">
        <f aca="false">'004_Nir1'!$BS28</f>
        <v>Portugal</v>
      </c>
      <c r="W135" s="55"/>
      <c r="X135" s="55"/>
      <c r="Y135" s="10" t="n">
        <f aca="false">COUNTIF($B$131:$B$146,V135)*$E$178</f>
        <v>0</v>
      </c>
      <c r="AA135" s="9" t="str">
        <f aca="false">'005_Nir2'!$BS28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'006_Nir3'!$BS28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'001_MikiZiso3'!$BS29</f>
        <v>Austria</v>
      </c>
      <c r="H136" s="55"/>
      <c r="I136" s="55"/>
      <c r="J136" s="10" t="n">
        <f aca="false">COUNTIF($B$131:$B$146,G136)*$E$178</f>
        <v>0</v>
      </c>
      <c r="L136" s="9" t="str">
        <f aca="false">'002_MikiZiso2'!$BS29</f>
        <v>Austria</v>
      </c>
      <c r="M136" s="55"/>
      <c r="N136" s="55"/>
      <c r="O136" s="10" t="n">
        <f aca="false">COUNTIF($B$131:$B$146,L136)*$E$178</f>
        <v>0</v>
      </c>
      <c r="Q136" s="9" t="str">
        <f aca="false">'003_Miki_Ziso'!$BS29</f>
        <v>Spain</v>
      </c>
      <c r="R136" s="55"/>
      <c r="S136" s="55"/>
      <c r="T136" s="10" t="n">
        <f aca="false">COUNTIF($B$131:$B$146,Q136)*$E$178</f>
        <v>0</v>
      </c>
      <c r="V136" s="9" t="str">
        <f aca="false">'004_Nir1'!$BS29</f>
        <v>Jordan</v>
      </c>
      <c r="W136" s="55"/>
      <c r="X136" s="55"/>
      <c r="Y136" s="10" t="n">
        <f aca="false">COUNTIF($B$131:$B$146,V136)*$E$178</f>
        <v>0</v>
      </c>
      <c r="AA136" s="9" t="str">
        <f aca="false">'005_Nir2'!$BS29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'006_Nir3'!$BS29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'001_MikiZiso3'!$BS36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'002_MikiZiso2'!$BS36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'003_Miki_Ziso'!$BS36</f>
        <v>Turkey</v>
      </c>
      <c r="R137" s="55"/>
      <c r="S137" s="55"/>
      <c r="T137" s="10" t="n">
        <f aca="false">COUNTIF($B$131:$B$146,Q137)*$E$178</f>
        <v>0</v>
      </c>
      <c r="V137" s="9" t="str">
        <f aca="false">'004_Nir1'!$BS36</f>
        <v>Canada</v>
      </c>
      <c r="W137" s="55"/>
      <c r="X137" s="55"/>
      <c r="Y137" s="10" t="n">
        <f aca="false">COUNTIF($B$131:$B$146,V137)*$E$178</f>
        <v>0</v>
      </c>
      <c r="AA137" s="9" t="str">
        <f aca="false">'005_Nir2'!$BS36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'006_Nir3'!$BS36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'001_MikiZiso3'!$BS37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'002_MikiZiso2'!$BS37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'003_Miki_Ziso'!$BS37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'004_Nir1'!$BS37</f>
        <v>Iran</v>
      </c>
      <c r="W138" s="55"/>
      <c r="X138" s="55"/>
      <c r="Y138" s="10" t="n">
        <f aca="false">COUNTIF($B$131:$B$146,V138)*$E$178</f>
        <v>0</v>
      </c>
      <c r="AA138" s="9" t="str">
        <f aca="false">'005_Nir2'!$BS37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'006_Nir3'!$BS37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'001_MikiZiso3'!$BS44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'002_MikiZiso2'!$BS44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'003_Miki_Ziso'!$BS44</f>
        <v>Morocco</v>
      </c>
      <c r="R139" s="55"/>
      <c r="S139" s="55"/>
      <c r="T139" s="10" t="n">
        <f aca="false">COUNTIF($B$131:$B$146,Q139)*$E$178</f>
        <v>0</v>
      </c>
      <c r="V139" s="9" t="str">
        <f aca="false">'004_Nir1'!$BS44</f>
        <v>Scotland</v>
      </c>
      <c r="W139" s="55"/>
      <c r="X139" s="55"/>
      <c r="Y139" s="10" t="n">
        <f aca="false">COUNTIF($B$131:$B$146,V139)*$E$178</f>
        <v>0</v>
      </c>
      <c r="AA139" s="9" t="str">
        <f aca="false">'005_Nir2'!$BS44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'006_Nir3'!$BS44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'001_MikiZiso3'!$BS45</f>
        <v>France</v>
      </c>
      <c r="H140" s="55"/>
      <c r="I140" s="55"/>
      <c r="J140" s="10" t="n">
        <f aca="false">COUNTIF($B$131:$B$146,G140)*$E$178</f>
        <v>0</v>
      </c>
      <c r="L140" s="9" t="str">
        <f aca="false">'002_MikiZiso2'!$BS45</f>
        <v>France</v>
      </c>
      <c r="M140" s="55"/>
      <c r="N140" s="55"/>
      <c r="O140" s="10" t="n">
        <f aca="false">COUNTIF($B$131:$B$146,L140)*$E$178</f>
        <v>0</v>
      </c>
      <c r="Q140" s="9" t="str">
        <f aca="false">'003_Miki_Ziso'!$BS45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'004_Nir1'!$BS45</f>
        <v>Germany</v>
      </c>
      <c r="W140" s="55"/>
      <c r="X140" s="55"/>
      <c r="Y140" s="10" t="n">
        <f aca="false">COUNTIF($B$131:$B$146,V140)*$E$178</f>
        <v>0</v>
      </c>
      <c r="AA140" s="9" t="str">
        <f aca="false">'005_Nir2'!$BS45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'006_Nir3'!$BS45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'001_MikiZiso3'!$BS52</f>
        <v>Mexico</v>
      </c>
      <c r="H141" s="55"/>
      <c r="I141" s="55"/>
      <c r="J141" s="10" t="n">
        <f aca="false">COUNTIF($B$131:$B$146,G141)*$E$178</f>
        <v>0</v>
      </c>
      <c r="L141" s="9" t="str">
        <f aca="false">'002_MikiZiso2'!$BS52</f>
        <v>Mexico</v>
      </c>
      <c r="M141" s="55"/>
      <c r="N141" s="55"/>
      <c r="O141" s="10" t="n">
        <f aca="false">COUNTIF($B$131:$B$146,L141)*$E$178</f>
        <v>0</v>
      </c>
      <c r="Q141" s="9" t="str">
        <f aca="false">'003_Miki_Ziso'!$BS52</f>
        <v>Mexico</v>
      </c>
      <c r="R141" s="55"/>
      <c r="S141" s="55"/>
      <c r="T141" s="10" t="n">
        <f aca="false">COUNTIF($B$131:$B$146,Q141)*$E$178</f>
        <v>0</v>
      </c>
      <c r="V141" s="9" t="str">
        <f aca="false">'004_Nir1'!$BS52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'005_Nir2'!$BS52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'006_Nir3'!$BS52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'001_MikiZiso3'!$BS53</f>
        <v>England</v>
      </c>
      <c r="H142" s="55"/>
      <c r="I142" s="55"/>
      <c r="J142" s="10" t="n">
        <f aca="false">COUNTIF($B$131:$B$146,G142)*$E$178</f>
        <v>0</v>
      </c>
      <c r="L142" s="9" t="str">
        <f aca="false">'002_MikiZiso2'!$BS53</f>
        <v>England</v>
      </c>
      <c r="M142" s="55"/>
      <c r="N142" s="55"/>
      <c r="O142" s="10" t="n">
        <f aca="false">COUNTIF($B$131:$B$146,L142)*$E$178</f>
        <v>0</v>
      </c>
      <c r="Q142" s="9" t="str">
        <f aca="false">'003_Miki_Ziso'!$BS53</f>
        <v>England</v>
      </c>
      <c r="R142" s="55"/>
      <c r="S142" s="55"/>
      <c r="T142" s="10" t="n">
        <f aca="false">COUNTIF($B$131:$B$146,Q142)*$E$178</f>
        <v>0</v>
      </c>
      <c r="V142" s="9" t="str">
        <f aca="false">'004_Nir1'!$BS53</f>
        <v>Senegal</v>
      </c>
      <c r="W142" s="55"/>
      <c r="X142" s="55"/>
      <c r="Y142" s="10" t="n">
        <f aca="false">COUNTIF($B$131:$B$146,V142)*$E$178</f>
        <v>0</v>
      </c>
      <c r="AA142" s="9" t="str">
        <f aca="false">'005_Nir2'!$BS53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'006_Nir3'!$BS53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'001_MikiZiso3'!$BS60</f>
        <v>Uruguay</v>
      </c>
      <c r="H143" s="55"/>
      <c r="I143" s="55"/>
      <c r="J143" s="10" t="n">
        <f aca="false">COUNTIF($B$131:$B$146,G143)*$E$178</f>
        <v>0</v>
      </c>
      <c r="L143" s="9" t="str">
        <f aca="false">'002_MikiZiso2'!$BS60</f>
        <v>Argentina</v>
      </c>
      <c r="M143" s="55"/>
      <c r="N143" s="55"/>
      <c r="O143" s="10" t="n">
        <f aca="false">COUNTIF($B$131:$B$146,L143)*$E$178</f>
        <v>0</v>
      </c>
      <c r="Q143" s="9" t="str">
        <f aca="false">'003_Miki_Ziso'!$BS60</f>
        <v>Argentina</v>
      </c>
      <c r="R143" s="55"/>
      <c r="S143" s="55"/>
      <c r="T143" s="10" t="n">
        <f aca="false">COUNTIF($B$131:$B$146,Q143)*$E$178</f>
        <v>0</v>
      </c>
      <c r="V143" s="9" t="str">
        <f aca="false">'004_Nir1'!$BS60</f>
        <v>Algeria</v>
      </c>
      <c r="W143" s="55"/>
      <c r="X143" s="55"/>
      <c r="Y143" s="10" t="n">
        <f aca="false">COUNTIF($B$131:$B$146,V143)*$E$178</f>
        <v>0</v>
      </c>
      <c r="AA143" s="9" t="str">
        <f aca="false">'005_Nir2'!$BS60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'006_Nir3'!$BS60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'001_MikiZiso3'!$BS61</f>
        <v>Turkey</v>
      </c>
      <c r="H144" s="55"/>
      <c r="I144" s="55"/>
      <c r="J144" s="10" t="n">
        <f aca="false">COUNTIF($B$131:$B$146,G144)*$E$178</f>
        <v>0</v>
      </c>
      <c r="L144" s="9" t="str">
        <f aca="false">'002_MikiZiso2'!$BS61</f>
        <v>Egypt</v>
      </c>
      <c r="M144" s="55"/>
      <c r="N144" s="55"/>
      <c r="O144" s="10" t="n">
        <f aca="false">COUNTIF($B$131:$B$146,L144)*$E$178</f>
        <v>0</v>
      </c>
      <c r="Q144" s="9" t="str">
        <f aca="false">'003_Miki_Ziso'!$BS61</f>
        <v>Belgium</v>
      </c>
      <c r="R144" s="55"/>
      <c r="S144" s="55"/>
      <c r="T144" s="10" t="n">
        <f aca="false">COUNTIF($B$131:$B$146,Q144)*$E$178</f>
        <v>0</v>
      </c>
      <c r="V144" s="9" t="str">
        <f aca="false">'004_Nir1'!$BS61</f>
        <v>Paraguay</v>
      </c>
      <c r="W144" s="55"/>
      <c r="X144" s="55"/>
      <c r="Y144" s="10" t="n">
        <f aca="false">COUNTIF($B$131:$B$146,V144)*$E$178</f>
        <v>0</v>
      </c>
      <c r="AA144" s="9" t="str">
        <f aca="false">'005_Nir2'!$BS61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'006_Nir3'!$BS61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'001_MikiZiso3'!$BS68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'002_MikiZiso2'!$BS68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'003_Miki_Ziso'!$BS68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'004_Nir1'!$BS68</f>
        <v>Austria</v>
      </c>
      <c r="W145" s="55"/>
      <c r="X145" s="55"/>
      <c r="Y145" s="10" t="n">
        <f aca="false">COUNTIF($B$131:$B$146,V145)*$E$178</f>
        <v>0</v>
      </c>
      <c r="AA145" s="9" t="str">
        <f aca="false">'005_Nir2'!$BS68</f>
        <v>Iran</v>
      </c>
      <c r="AB145" s="55"/>
      <c r="AC145" s="55"/>
      <c r="AD145" s="10" t="n">
        <f aca="false">COUNTIF($B$131:$B$146,AA145)*$E$178</f>
        <v>0</v>
      </c>
      <c r="AF145" s="9" t="str">
        <f aca="false">'006_Nir3'!$BS68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'001_MikiZiso3'!$BS69</f>
        <v>Ghana</v>
      </c>
      <c r="H146" s="55"/>
      <c r="I146" s="55"/>
      <c r="J146" s="10" t="n">
        <f aca="false">COUNTIF($B$131:$B$146,G146)*$E$178</f>
        <v>0</v>
      </c>
      <c r="L146" s="9" t="str">
        <f aca="false">'002_MikiZiso2'!$BS69</f>
        <v>Croatia</v>
      </c>
      <c r="M146" s="55"/>
      <c r="N146" s="55"/>
      <c r="O146" s="10" t="n">
        <f aca="false">COUNTIF($B$131:$B$146,L146)*$E$178</f>
        <v>0</v>
      </c>
      <c r="Q146" s="9" t="str">
        <f aca="false">'003_Miki_Ziso'!$BS69</f>
        <v>Colombia</v>
      </c>
      <c r="R146" s="55"/>
      <c r="S146" s="55"/>
      <c r="T146" s="10" t="n">
        <f aca="false">COUNTIF($B$131:$B$146,Q146)*$E$178</f>
        <v>0</v>
      </c>
      <c r="V146" s="9" t="str">
        <f aca="false">'004_Nir1'!$BS69</f>
        <v>Colombia</v>
      </c>
      <c r="W146" s="55"/>
      <c r="X146" s="55"/>
      <c r="Y146" s="10" t="n">
        <f aca="false">COUNTIF($B$131:$B$146,V146)*$E$178</f>
        <v>0</v>
      </c>
      <c r="AA146" s="9" t="str">
        <f aca="false">'005_Nir2'!$BS69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'006_Nir3'!$BS69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'001_MikiZiso3'!$BZ16</f>
        <v>Norway</v>
      </c>
      <c r="H149" s="55"/>
      <c r="I149" s="55"/>
      <c r="J149" s="10" t="n">
        <f aca="false">COUNTIF($B$149:$B$156,G149)*$E$178</f>
        <v>0</v>
      </c>
      <c r="L149" s="9" t="str">
        <f aca="false">'002_MikiZiso2'!$BZ16</f>
        <v>Germany</v>
      </c>
      <c r="M149" s="55"/>
      <c r="N149" s="55"/>
      <c r="O149" s="10" t="n">
        <f aca="false">COUNTIF($B$149:$B$156,L149)*$E$178</f>
        <v>0</v>
      </c>
      <c r="Q149" s="9" t="str">
        <f aca="false">'003_Miki_Ziso'!$BZ16</f>
        <v>Germany</v>
      </c>
      <c r="R149" s="55"/>
      <c r="S149" s="55"/>
      <c r="T149" s="10" t="n">
        <f aca="false">COUNTIF($B$149:$B$156,Q149)*$E$178</f>
        <v>0</v>
      </c>
      <c r="V149" s="9" t="str">
        <f aca="false">'004_Nir1'!$BZ16</f>
        <v>Norway</v>
      </c>
      <c r="W149" s="55"/>
      <c r="X149" s="55"/>
      <c r="Y149" s="10" t="n">
        <f aca="false">COUNTIF($B$149:$B$156,V149)*$E$178</f>
        <v>0</v>
      </c>
      <c r="AA149" s="9" t="str">
        <f aca="false">'005_Nir2'!$BZ16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'006_Nir3'!$BZ16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'001_MikiZiso3'!$BZ17</f>
        <v>Japan</v>
      </c>
      <c r="H150" s="55"/>
      <c r="I150" s="55"/>
      <c r="J150" s="10" t="n">
        <f aca="false">COUNTIF($B$149:$B$156,G150)*$E$178</f>
        <v>0</v>
      </c>
      <c r="L150" s="9" t="str">
        <f aca="false">'002_MikiZiso2'!$BZ17</f>
        <v>Brazil</v>
      </c>
      <c r="M150" s="55"/>
      <c r="N150" s="55"/>
      <c r="O150" s="10" t="n">
        <f aca="false">COUNTIF($B$149:$B$156,L150)*$E$178</f>
        <v>0</v>
      </c>
      <c r="Q150" s="9" t="str">
        <f aca="false">'003_Miki_Ziso'!$BZ17</f>
        <v>Brazil</v>
      </c>
      <c r="R150" s="55"/>
      <c r="S150" s="55"/>
      <c r="T150" s="10" t="n">
        <f aca="false">COUNTIF($B$149:$B$156,Q150)*$E$178</f>
        <v>0</v>
      </c>
      <c r="V150" s="9" t="str">
        <f aca="false">'004_Nir1'!$BZ17</f>
        <v>Brazil</v>
      </c>
      <c r="W150" s="55"/>
      <c r="X150" s="55"/>
      <c r="Y150" s="10" t="n">
        <f aca="false">COUNTIF($B$149:$B$156,V150)*$E$178</f>
        <v>0</v>
      </c>
      <c r="AA150" s="9" t="str">
        <f aca="false">'005_Nir2'!$BZ17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'006_Nir3'!$BZ17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'001_MikiZiso3'!$BZ32</f>
        <v>Portugal</v>
      </c>
      <c r="H151" s="55"/>
      <c r="I151" s="55"/>
      <c r="J151" s="10" t="n">
        <f aca="false">COUNTIF($B$149:$B$156,G151)*$E$178</f>
        <v>0</v>
      </c>
      <c r="L151" s="9" t="str">
        <f aca="false">'002_MikiZiso2'!$BZ32</f>
        <v>Austria</v>
      </c>
      <c r="M151" s="55"/>
      <c r="N151" s="55"/>
      <c r="O151" s="10" t="n">
        <f aca="false">COUNTIF($B$149:$B$156,L151)*$E$178</f>
        <v>0</v>
      </c>
      <c r="Q151" s="9" t="str">
        <f aca="false">'003_Miki_Ziso'!$BZ32</f>
        <v>Spain</v>
      </c>
      <c r="R151" s="55"/>
      <c r="S151" s="55"/>
      <c r="T151" s="10" t="n">
        <f aca="false">COUNTIF($B$149:$B$156,Q151)*$E$178</f>
        <v>0</v>
      </c>
      <c r="V151" s="9" t="str">
        <f aca="false">'004_Nir1'!$BZ32</f>
        <v>Jordan</v>
      </c>
      <c r="W151" s="55"/>
      <c r="X151" s="55"/>
      <c r="Y151" s="10" t="n">
        <f aca="false">COUNTIF($B$149:$B$156,V151)*$E$178</f>
        <v>0</v>
      </c>
      <c r="AA151" s="9" t="str">
        <f aca="false">'005_Nir2'!$BZ32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'006_Nir3'!$BZ32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'001_MikiZiso3'!$BZ33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'002_MikiZiso2'!$BZ33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'003_Miki_Ziso'!$BZ33</f>
        <v>Turkey</v>
      </c>
      <c r="R152" s="55"/>
      <c r="S152" s="55"/>
      <c r="T152" s="10" t="n">
        <f aca="false">COUNTIF($B$149:$B$156,Q152)*$E$178</f>
        <v>0</v>
      </c>
      <c r="V152" s="9" t="str">
        <f aca="false">'004_Nir1'!$BZ33</f>
        <v>Canada</v>
      </c>
      <c r="W152" s="55"/>
      <c r="X152" s="55"/>
      <c r="Y152" s="10" t="n">
        <f aca="false">COUNTIF($B$149:$B$156,V152)*$E$178</f>
        <v>0</v>
      </c>
      <c r="AA152" s="9" t="str">
        <f aca="false">'005_Nir2'!$BZ33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'006_Nir3'!$BZ33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'001_MikiZiso3'!$BZ48</f>
        <v>France</v>
      </c>
      <c r="H153" s="55"/>
      <c r="I153" s="55"/>
      <c r="J153" s="10" t="n">
        <f aca="false">COUNTIF($B$149:$B$156,G153)*$E$178</f>
        <v>0</v>
      </c>
      <c r="L153" s="9" t="str">
        <f aca="false">'002_MikiZiso2'!$BZ48</f>
        <v>France</v>
      </c>
      <c r="M153" s="55"/>
      <c r="N153" s="55"/>
      <c r="O153" s="10" t="n">
        <f aca="false">COUNTIF($B$149:$B$156,L153)*$E$178</f>
        <v>0</v>
      </c>
      <c r="Q153" s="9" t="str">
        <f aca="false">'003_Miki_Ziso'!$BZ48</f>
        <v>Morocco</v>
      </c>
      <c r="R153" s="55"/>
      <c r="S153" s="55"/>
      <c r="T153" s="10" t="n">
        <f aca="false">COUNTIF($B$149:$B$156,Q153)*$E$178</f>
        <v>0</v>
      </c>
      <c r="V153" s="9" t="str">
        <f aca="false">'004_Nir1'!$BZ48</f>
        <v>Germany</v>
      </c>
      <c r="W153" s="55"/>
      <c r="X153" s="55"/>
      <c r="Y153" s="10" t="n">
        <f aca="false">COUNTIF($B$149:$B$156,V153)*$E$178</f>
        <v>0</v>
      </c>
      <c r="AA153" s="9" t="str">
        <f aca="false">'005_Nir2'!$BZ48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'006_Nir3'!$BZ48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'001_MikiZiso3'!$BZ49</f>
        <v>England</v>
      </c>
      <c r="H154" s="55"/>
      <c r="I154" s="55"/>
      <c r="J154" s="10" t="n">
        <f aca="false">COUNTIF($B$149:$B$156,G154)*$E$178</f>
        <v>0</v>
      </c>
      <c r="L154" s="9" t="str">
        <f aca="false">'002_MikiZiso2'!$BZ49</f>
        <v>England</v>
      </c>
      <c r="M154" s="55"/>
      <c r="N154" s="55"/>
      <c r="O154" s="10" t="n">
        <f aca="false">COUNTIF($B$149:$B$156,L154)*$E$178</f>
        <v>0</v>
      </c>
      <c r="Q154" s="9" t="str">
        <f aca="false">'003_Miki_Ziso'!$BZ49</f>
        <v>England</v>
      </c>
      <c r="R154" s="55"/>
      <c r="S154" s="55"/>
      <c r="T154" s="10" t="n">
        <f aca="false">COUNTIF($B$149:$B$156,Q154)*$E$178</f>
        <v>0</v>
      </c>
      <c r="V154" s="9" t="str">
        <f aca="false">'004_Nir1'!$BZ49</f>
        <v>Senegal</v>
      </c>
      <c r="W154" s="55"/>
      <c r="X154" s="55"/>
      <c r="Y154" s="10" t="n">
        <f aca="false">COUNTIF($B$149:$B$156,V154)*$E$178</f>
        <v>0</v>
      </c>
      <c r="AA154" s="9" t="str">
        <f aca="false">'005_Nir2'!$BZ49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'006_Nir3'!$BZ49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'001_MikiZiso3'!$BZ64</f>
        <v>Uruguay</v>
      </c>
      <c r="H155" s="55"/>
      <c r="I155" s="55"/>
      <c r="J155" s="10" t="n">
        <f aca="false">COUNTIF($B$149:$B$156,G155)*$E$178</f>
        <v>0</v>
      </c>
      <c r="L155" s="9" t="str">
        <f aca="false">'002_MikiZiso2'!$BZ64</f>
        <v>Argentina</v>
      </c>
      <c r="M155" s="55"/>
      <c r="N155" s="55"/>
      <c r="O155" s="10" t="n">
        <f aca="false">COUNTIF($B$149:$B$156,L155)*$E$178</f>
        <v>0</v>
      </c>
      <c r="Q155" s="9" t="str">
        <f aca="false">'003_Miki_Ziso'!$BZ64</f>
        <v>Argentina</v>
      </c>
      <c r="R155" s="55"/>
      <c r="S155" s="55"/>
      <c r="T155" s="10" t="n">
        <f aca="false">COUNTIF($B$149:$B$156,Q155)*$E$178</f>
        <v>0</v>
      </c>
      <c r="V155" s="9" t="str">
        <f aca="false">'004_Nir1'!$BZ64</f>
        <v>Algeria</v>
      </c>
      <c r="W155" s="55"/>
      <c r="X155" s="55"/>
      <c r="Y155" s="10" t="n">
        <f aca="false">COUNTIF($B$149:$B$156,V155)*$E$178</f>
        <v>0</v>
      </c>
      <c r="AA155" s="9" t="str">
        <f aca="false">'005_Nir2'!$BZ64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'006_Nir3'!$BZ64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'001_MikiZiso3'!$BZ65</f>
        <v>Ghana</v>
      </c>
      <c r="H156" s="55"/>
      <c r="I156" s="55"/>
      <c r="J156" s="10" t="n">
        <f aca="false">COUNTIF($B$149:$B$156,G156)*$E$178</f>
        <v>0</v>
      </c>
      <c r="L156" s="9" t="str">
        <f aca="false">'002_MikiZiso2'!$BZ65</f>
        <v>Croatia</v>
      </c>
      <c r="M156" s="55"/>
      <c r="N156" s="55"/>
      <c r="O156" s="10" t="n">
        <f aca="false">COUNTIF($B$149:$B$156,L156)*$E$178</f>
        <v>0</v>
      </c>
      <c r="Q156" s="9" t="str">
        <f aca="false">'003_Miki_Ziso'!$BZ65</f>
        <v>Colombia</v>
      </c>
      <c r="R156" s="55"/>
      <c r="S156" s="55"/>
      <c r="T156" s="10" t="n">
        <f aca="false">COUNTIF($B$149:$B$156,Q156)*$E$178</f>
        <v>0</v>
      </c>
      <c r="V156" s="9" t="str">
        <f aca="false">'004_Nir1'!$BZ65</f>
        <v>Austria</v>
      </c>
      <c r="W156" s="55"/>
      <c r="X156" s="55"/>
      <c r="Y156" s="10" t="n">
        <f aca="false">COUNTIF($B$149:$B$156,V156)*$E$178</f>
        <v>0</v>
      </c>
      <c r="AA156" s="9" t="str">
        <f aca="false">'005_Nir2'!$BZ65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'006_Nir3'!$BZ65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'001_MikiZiso3'!$CG23</f>
        <v>Norway</v>
      </c>
      <c r="H159" s="55"/>
      <c r="I159" s="55"/>
      <c r="J159" s="10" t="n">
        <f aca="false">COUNTIF($B$159:$B$162,G159)*$E$179</f>
        <v>0</v>
      </c>
      <c r="L159" s="9" t="str">
        <f aca="false">'002_MikiZiso2'!$CG23</f>
        <v>Germany</v>
      </c>
      <c r="M159" s="55"/>
      <c r="N159" s="55"/>
      <c r="O159" s="10" t="n">
        <f aca="false">COUNTIF($B$159:$B$162,L159)*$E$179</f>
        <v>0</v>
      </c>
      <c r="Q159" s="9" t="str">
        <f aca="false">'003_Miki_Ziso'!$CG23</f>
        <v>Brazil</v>
      </c>
      <c r="R159" s="55"/>
      <c r="S159" s="55"/>
      <c r="T159" s="10" t="n">
        <f aca="false">COUNTIF($B$159:$B$162,Q159)*$E$179</f>
        <v>0</v>
      </c>
      <c r="V159" s="9" t="str">
        <f aca="false">'004_Nir1'!$CG23</f>
        <v>Brazil</v>
      </c>
      <c r="W159" s="55"/>
      <c r="X159" s="55"/>
      <c r="Y159" s="10" t="n">
        <f aca="false">COUNTIF($B$159:$B$162,V159)*$E$179</f>
        <v>0</v>
      </c>
      <c r="AA159" s="9" t="str">
        <f aca="false">'005_Nir2'!$CG23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'006_Nir3'!$CG23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'001_MikiZiso3'!$CG24</f>
        <v>Portugal</v>
      </c>
      <c r="H160" s="55"/>
      <c r="I160" s="55"/>
      <c r="J160" s="10" t="n">
        <f aca="false">COUNTIF($B$159:$B$162,G160)*$E$179</f>
        <v>0</v>
      </c>
      <c r="L160" s="9" t="str">
        <f aca="false">'002_MikiZiso2'!$CG24</f>
        <v>Austria</v>
      </c>
      <c r="M160" s="55"/>
      <c r="N160" s="55"/>
      <c r="O160" s="10" t="n">
        <f aca="false">COUNTIF($B$159:$B$162,L160)*$E$179</f>
        <v>0</v>
      </c>
      <c r="Q160" s="9" t="str">
        <f aca="false">'003_Miki_Ziso'!$CG24</f>
        <v>Turkey</v>
      </c>
      <c r="R160" s="55"/>
      <c r="S160" s="55"/>
      <c r="T160" s="10" t="n">
        <f aca="false">COUNTIF($B$159:$B$162,Q160)*$E$179</f>
        <v>0</v>
      </c>
      <c r="V160" s="9" t="str">
        <f aca="false">'004_Nir1'!$CG24</f>
        <v>Canada</v>
      </c>
      <c r="W160" s="55"/>
      <c r="X160" s="55"/>
      <c r="Y160" s="10" t="n">
        <f aca="false">COUNTIF($B$159:$B$162,V160)*$E$179</f>
        <v>0</v>
      </c>
      <c r="AA160" s="9" t="str">
        <f aca="false">'005_Nir2'!$CG24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'006_Nir3'!$CG24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'001_MikiZiso3'!$CG55</f>
        <v>France</v>
      </c>
      <c r="H161" s="55"/>
      <c r="I161" s="55"/>
      <c r="J161" s="10" t="n">
        <f aca="false">COUNTIF($B$159:$B$162,G161)*$E$179</f>
        <v>0</v>
      </c>
      <c r="L161" s="9" t="str">
        <f aca="false">'002_MikiZiso2'!$CG55</f>
        <v>France</v>
      </c>
      <c r="M161" s="55"/>
      <c r="N161" s="55"/>
      <c r="O161" s="10" t="n">
        <f aca="false">COUNTIF($B$159:$B$162,L161)*$E$179</f>
        <v>0</v>
      </c>
      <c r="Q161" s="9" t="str">
        <f aca="false">'003_Miki_Ziso'!$CG55</f>
        <v>England</v>
      </c>
      <c r="R161" s="55"/>
      <c r="S161" s="55"/>
      <c r="T161" s="10" t="n">
        <f aca="false">COUNTIF($B$159:$B$162,Q161)*$E$179</f>
        <v>0</v>
      </c>
      <c r="V161" s="9" t="str">
        <f aca="false">'004_Nir1'!$CG55</f>
        <v>Senegal</v>
      </c>
      <c r="W161" s="55"/>
      <c r="X161" s="55"/>
      <c r="Y161" s="10" t="n">
        <f aca="false">COUNTIF($B$159:$B$162,V161)*$E$179</f>
        <v>0</v>
      </c>
      <c r="AA161" s="9" t="str">
        <f aca="false">'005_Nir2'!$CG55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'006_Nir3'!$CG55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'001_MikiZiso3'!$CG56</f>
        <v>Uruguay</v>
      </c>
      <c r="H162" s="55"/>
      <c r="I162" s="55"/>
      <c r="J162" s="10" t="n">
        <f aca="false">COUNTIF($B$159:$B$162,G162)*$E$179</f>
        <v>0</v>
      </c>
      <c r="L162" s="9" t="str">
        <f aca="false">'002_MikiZiso2'!$CG56</f>
        <v>Argentina</v>
      </c>
      <c r="M162" s="55"/>
      <c r="N162" s="55"/>
      <c r="O162" s="10" t="n">
        <f aca="false">COUNTIF($B$159:$B$162,L162)*$E$179</f>
        <v>0</v>
      </c>
      <c r="Q162" s="9" t="str">
        <f aca="false">'003_Miki_Ziso'!$CG56</f>
        <v>Colombia</v>
      </c>
      <c r="R162" s="55"/>
      <c r="S162" s="55"/>
      <c r="T162" s="10" t="n">
        <f aca="false">COUNTIF($B$159:$B$162,Q162)*$E$179</f>
        <v>0</v>
      </c>
      <c r="V162" s="9" t="str">
        <f aca="false">'004_Nir1'!$CG56</f>
        <v>Austria</v>
      </c>
      <c r="W162" s="55"/>
      <c r="X162" s="55"/>
      <c r="Y162" s="10" t="n">
        <f aca="false">COUNTIF($B$159:$B$162,V162)*$E$179</f>
        <v>0</v>
      </c>
      <c r="AA162" s="9" t="str">
        <f aca="false">'005_Nir2'!$CG56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'006_Nir3'!$CG56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'001_MikiZiso3'!$CN37</f>
        <v>Norway</v>
      </c>
      <c r="H165" s="55"/>
      <c r="I165" s="55"/>
      <c r="J165" s="10" t="n">
        <f aca="false">COUNTIF($B$165:$B$166,G165)*$E$180</f>
        <v>0</v>
      </c>
      <c r="L165" s="9" t="str">
        <f aca="false">'002_MikiZiso2'!$CN37</f>
        <v>Germany</v>
      </c>
      <c r="M165" s="55"/>
      <c r="N165" s="55"/>
      <c r="O165" s="10" t="n">
        <f aca="false">COUNTIF($B$165:$B$166,L165)*$E$180</f>
        <v>0</v>
      </c>
      <c r="Q165" s="9" t="str">
        <f aca="false">'003_Miki_Ziso'!$CN37</f>
        <v>Brazil</v>
      </c>
      <c r="R165" s="55"/>
      <c r="S165" s="55"/>
      <c r="T165" s="10" t="n">
        <f aca="false">COUNTIF($B$165:$B$166,Q165)*$E$180</f>
        <v>0</v>
      </c>
      <c r="V165" s="9" t="str">
        <f aca="false">'004_Nir1'!$CN37</f>
        <v>Canada</v>
      </c>
      <c r="W165" s="55"/>
      <c r="X165" s="55"/>
      <c r="Y165" s="10" t="n">
        <f aca="false">COUNTIF($B$165:$B$166,V165)*$E$180</f>
        <v>0</v>
      </c>
      <c r="AA165" s="9" t="str">
        <f aca="false">'005_Nir2'!$CN37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'006_Nir3'!$CN37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'001_MikiZiso3'!$CN38</f>
        <v>France</v>
      </c>
      <c r="H166" s="55"/>
      <c r="I166" s="55"/>
      <c r="J166" s="10" t="n">
        <f aca="false">COUNTIF($B$165:$B$166,G166)*$E$180</f>
        <v>0</v>
      </c>
      <c r="L166" s="9" t="str">
        <f aca="false">'002_MikiZiso2'!$CN38</f>
        <v>France</v>
      </c>
      <c r="M166" s="55"/>
      <c r="N166" s="55"/>
      <c r="O166" s="10" t="n">
        <f aca="false">COUNTIF($B$165:$B$166,L166)*$E$180</f>
        <v>0</v>
      </c>
      <c r="Q166" s="9" t="str">
        <f aca="false">'003_Miki_Ziso'!$CN38</f>
        <v>Colombia</v>
      </c>
      <c r="R166" s="55"/>
      <c r="S166" s="55"/>
      <c r="T166" s="10" t="n">
        <f aca="false">COUNTIF($B$165:$B$166,Q166)*$E$180</f>
        <v>0</v>
      </c>
      <c r="V166" s="9" t="str">
        <f aca="false">'004_Nir1'!$CN38</f>
        <v>Senegal</v>
      </c>
      <c r="W166" s="55"/>
      <c r="X166" s="55"/>
      <c r="Y166" s="10" t="n">
        <f aca="false">COUNTIF($B$165:$B$166,V166)*$E$180</f>
        <v>0</v>
      </c>
      <c r="AA166" s="9" t="str">
        <f aca="false">'005_Nir2'!$CN38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'006_Nir3'!$CN38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'001_MikiZiso3'!$CM47</f>
        <v>France</v>
      </c>
      <c r="H169" s="55"/>
      <c r="I169" s="55"/>
      <c r="J169" s="10" t="n">
        <f aca="false">COUNTIF(B169,G169)*$E$181</f>
        <v>0</v>
      </c>
      <c r="L169" s="9" t="str">
        <f aca="false">'002_MikiZiso2'!$CM47</f>
        <v>Germany</v>
      </c>
      <c r="M169" s="55"/>
      <c r="N169" s="55"/>
      <c r="O169" s="10" t="n">
        <f aca="false">COUNTIF(H169,L169)*$E$181</f>
        <v>0</v>
      </c>
      <c r="Q169" s="9" t="str">
        <f aca="false">'003_Miki_Ziso'!$CM47</f>
        <v>Brazil</v>
      </c>
      <c r="R169" s="55"/>
      <c r="S169" s="55"/>
      <c r="T169" s="10" t="n">
        <f aca="false">COUNTIF(L169,Q169)*$E$181</f>
        <v>0</v>
      </c>
      <c r="V169" s="9" t="str">
        <f aca="false">'004_Nir1'!$CM47</f>
        <v>Senegal</v>
      </c>
      <c r="W169" s="55"/>
      <c r="X169" s="55"/>
      <c r="Y169" s="10" t="n">
        <f aca="false">COUNTIF(Q169,V169)*$E$181</f>
        <v>0</v>
      </c>
      <c r="AA169" s="9" t="str">
        <f aca="false">'005_Nir2'!$CM47</f>
        <v>Belgium</v>
      </c>
      <c r="AB169" s="55"/>
      <c r="AC169" s="55"/>
      <c r="AD169" s="10" t="n">
        <f aca="false">COUNTIF(V169,AA169)*$E$181</f>
        <v>0</v>
      </c>
      <c r="AF169" s="9" t="str">
        <f aca="false">'006_Nir3'!$CM47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str">
        <f aca="false">HLOOKUP($A238,$3:$8,2,0)</f>
        <v>MikiZiso3</v>
      </c>
      <c r="C238" s="6" t="str">
        <f aca="false">HLOOKUP($A238,$3:$8,5,0)</f>
        <v>France</v>
      </c>
      <c r="D238" s="6"/>
      <c r="F238" s="6" t="n">
        <f aca="false">HLOOKUP($A238,$3:$8,6,0)</f>
        <v>0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str">
        <f aca="false">HLOOKUP($A239,$3:$8,2,0)</f>
        <v>MikiZiso2</v>
      </c>
      <c r="C239" s="6" t="str">
        <f aca="false">HLOOKUP($A239,$3:$8,5,0)</f>
        <v>Germany</v>
      </c>
      <c r="D239" s="6"/>
      <c r="F239" s="6" t="n">
        <f aca="false">HLOOKUP($A239,$3:$8,6,0)</f>
        <v>0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str">
        <f aca="false">HLOOKUP($A240,$3:$8,2,0)</f>
        <v>Miki_Ziso</v>
      </c>
      <c r="C240" s="6" t="str">
        <f aca="false">HLOOKUP($A240,$3:$8,5,0)</f>
        <v>Brazil</v>
      </c>
      <c r="D240" s="6"/>
      <c r="F240" s="6" t="n">
        <f aca="false">HLOOKUP($A240,$3:$8,6,0)</f>
        <v>0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str">
        <f aca="false">HLOOKUP($A241,$3:$8,2,0)</f>
        <v>Nir1</v>
      </c>
      <c r="C241" s="6" t="str">
        <f aca="false">HLOOKUP($A241,$3:$8,5,0)</f>
        <v>Senegal</v>
      </c>
      <c r="D241" s="6"/>
      <c r="F241" s="6" t="n">
        <f aca="false">HLOOKUP($A241,$3:$8,6,0)</f>
        <v>0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str">
        <f aca="false">HLOOKUP($A242,$3:$8,2,0)</f>
        <v>Nir2</v>
      </c>
      <c r="C242" s="6" t="str">
        <f aca="false">HLOOKUP($A242,$3:$8,5,0)</f>
        <v>Belgium</v>
      </c>
      <c r="D242" s="6"/>
      <c r="F242" s="6" t="n">
        <f aca="false">HLOOKUP($A242,$3:$8,6,0)</f>
        <v>0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str">
        <f aca="false">HLOOKUP($A243,$3:$8,2,0)</f>
        <v>Nir3</v>
      </c>
      <c r="C243" s="6" t="str">
        <f aca="false">HLOOKUP($A243,$3:$8,5,0)</f>
        <v>Uzbekistan</v>
      </c>
      <c r="D243" s="6"/>
      <c r="F243" s="6" t="n">
        <f aca="false">HLOOKUP($A243,$3:$8,6,0)</f>
        <v>0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230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f aca="false">F244+F238-F239</f>
        <v>230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f aca="false">F245+F239-F240</f>
        <v>230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f aca="false">F246+F240-F241</f>
        <v>230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f aca="false">F247+F241-F242</f>
        <v>230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f aca="false">F248+F242-F243</f>
        <v>230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f aca="false">F249+F243-F244</f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f aca="false">F250+F244-F245+1</f>
        <v>1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f aca="false">F251+F245-F246</f>
        <v>1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f aca="false">F252+F246-F247</f>
        <v>1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f aca="false">F253+F247-F248</f>
        <v>1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f aca="false">F254+F248-F249</f>
        <v>1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f aca="false">F255+F249-F250</f>
        <v>231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f aca="false">F256+F250-F251</f>
        <v>230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f aca="false">F257+F251-F252</f>
        <v>230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f aca="false">F258+F252-F253</f>
        <v>230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f aca="false">F259+F253-F254</f>
        <v>230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f aca="false">F260+F254-F255</f>
        <v>230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f aca="false">F261+F255-F256+1</f>
        <v>1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f aca="false">F262+F256-F257</f>
        <v>2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f aca="false">F263+F257-F258</f>
        <v>2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f aca="false">F264+F258-F259</f>
        <v>2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f aca="false">F265+F259-F260+1</f>
        <v>3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f aca="false">F266+F260-F261</f>
        <v>3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f aca="false">F267+F261-F262</f>
        <v>232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f aca="false">F268+F262-F263-15</f>
        <v>216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f aca="false">F269+F263-F264</f>
        <v>216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str">
        <f aca="false">C238</f>
        <v>France</v>
      </c>
      <c r="D271" s="82"/>
      <c r="E271" s="83"/>
      <c r="F271" s="82" t="n">
        <f aca="false">F270+F264-F265</f>
        <v>216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str">
        <f aca="false">C239</f>
        <v>Germany</v>
      </c>
      <c r="D272" s="82"/>
      <c r="E272" s="83"/>
      <c r="F272" s="82" t="n">
        <f aca="false">F271+F265-F266</f>
        <v>215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str">
        <f aca="false">C240</f>
        <v>Brazil</v>
      </c>
      <c r="D273" s="82"/>
      <c r="E273" s="83"/>
      <c r="F273" s="82" t="n">
        <f aca="false">F272+F266-F267</f>
        <v>215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str">
        <f aca="false">C241</f>
        <v>Senegal</v>
      </c>
      <c r="D274" s="82"/>
      <c r="E274" s="83"/>
      <c r="F274" s="82" t="n">
        <f aca="false">F273+F267-F268</f>
        <v>-14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str">
        <f aca="false">C242</f>
        <v>Belgium</v>
      </c>
      <c r="D275" s="82"/>
      <c r="E275" s="83"/>
      <c r="F275" s="82" t="n">
        <f aca="false">F274+F268-F269</f>
        <v>2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str">
        <f aca="false">C243</f>
        <v>Uzbekistan</v>
      </c>
      <c r="D276" s="82"/>
      <c r="E276" s="83"/>
      <c r="F276" s="82" t="n">
        <f aca="false">F275+F269-F270-3</f>
        <v>-1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f aca="false">F276+F270-F271</f>
        <v>-1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f aca="false">F277+F271-F272</f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f aca="false">F278+F272-F273</f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f aca="false">F279+F273-F274</f>
        <v>229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f aca="false">F280+F274-F275</f>
        <v>213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f aca="false">F281+F275-F276</f>
        <v>216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f aca="false">F282+F276-F277+21</f>
        <v>237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f aca="false">F283+F277-F278</f>
        <v>236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f aca="false">F284+F278-F279</f>
        <v>236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f aca="false">F285+F279-F280</f>
        <v>7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f aca="false">F286+F280-F281</f>
        <v>23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f aca="false">F287+F281-F282-12</f>
        <v>8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f aca="false">F288+F282-F283</f>
        <v>-13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f aca="false">F289+F283-F284</f>
        <v>-12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f aca="false">F290+F284-F285</f>
        <v>-12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f aca="false">F291+F285-F286</f>
        <v>217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f aca="false">F292+F286-F287</f>
        <v>201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f aca="false">F293+F287-F288</f>
        <v>216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f aca="false">F294+F288-F289</f>
        <v>237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f aca="false">F295+F289-F290+3</f>
        <v>239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f aca="false">F296+F290-F291</f>
        <v>239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f aca="false">F297+F291-F292</f>
        <v>10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f aca="false">F298+F292-F293</f>
        <v>26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f aca="false">F299+F293-F294</f>
        <v>11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f aca="false">F300+F294-F295</f>
        <v>-10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f aca="false">F301+F295-F296-4</f>
        <v>-16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f aca="false">F302+F296-F297</f>
        <v>-16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str">
        <f aca="false">C271</f>
        <v>France</v>
      </c>
      <c r="D304" s="82"/>
      <c r="E304" s="83"/>
      <c r="F304" s="82" t="n">
        <f aca="false">F303+F297-F298</f>
        <v>213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str">
        <f aca="false">C272</f>
        <v>Germany</v>
      </c>
      <c r="D305" s="82"/>
      <c r="E305" s="83"/>
      <c r="F305" s="82" t="n">
        <f aca="false">F304+F298-F299</f>
        <v>197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str">
        <f aca="false">C273</f>
        <v>Brazil</v>
      </c>
      <c r="D306" s="82"/>
      <c r="E306" s="83"/>
      <c r="F306" s="82" t="n">
        <f aca="false">F305+F299-F300</f>
        <v>212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str">
        <f aca="false">C274</f>
        <v>Senegal</v>
      </c>
      <c r="D307" s="82"/>
      <c r="E307" s="83"/>
      <c r="F307" s="82" t="n">
        <f aca="false">F306+F300-F301</f>
        <v>233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2026-05-24T20:22:55Z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