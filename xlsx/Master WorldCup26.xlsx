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<sst xmlns="http://schemas.openxmlformats.org/spreadsheetml/2006/main" count="5548" uniqueCount="558">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</sst>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 t="n">
        <v>0</v>
      </c>
      <c r="M7" s="13" t="n">
        <v>0</v>
      </c>
      <c r="N7" s="14" t="str">
        <f aca="false">IF(OR(M7="",L7=""),"",IF(L7&gt;M7,"I",IF(L7=M7,"X","II")))</f>
        <v>X</v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11.0000000103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8.0000000102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11.0000000103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8.0000000102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n">
        <f aca="false">IF(Summary!L7="","",Summary!L7)</f>
        <v>0</v>
      </c>
      <c r="D24" s="52" t="n">
        <f aca="false">IF(Summary!M7="","",Summary!M7)</f>
        <v>0</v>
      </c>
      <c r="E24" s="14" t="str">
        <f aca="false">IF(OR(D24="",C24=""),"",IF(C24&gt;D24,"I",IF(C24=D24,"X","II")))</f>
        <v>X</v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n">
        <f aca="false">IF($E24="","",IF(I24=$E24,$E$175,0)+IF(AND($C24=G24,$D24=H24),$E$176,0))</f>
        <v>0</v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n">
        <f aca="false">IF($E24="","",IF(N24=$E24,$E$175,0)+IF(AND($C24=L24,$D24=M24),$E$176,0))</f>
        <v>0</v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n">
        <f aca="false">IF($E24="","",IF(S24=$E24,$E$175,0)+IF(AND($C24=Q24,$D24=R24),$E$176,0))</f>
        <v>0</v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n">
        <f aca="false">IF($E24="","",IF(X24=$E24,$E$175,0)+IF(AND($C24=V24,$D24=W24),$E$176,0))</f>
        <v>0</v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n">
        <f aca="false">IF($E24="","",IF(AC24=$E24,$E$175,0)+IF(AND($C24=AA24,$D24=AB24),$E$176,0))</f>
        <v>0</v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n">
        <f aca="false">IF($E24="","",IF(AH24=$E24,$E$175,0)+IF(AND($C24=AF24,$D24=AG24),$E$176,0))</f>
        <v>0</v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11.0000000103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8.0000000102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2026-05-27T18:54:27Z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