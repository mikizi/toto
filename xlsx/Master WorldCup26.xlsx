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<sst xmlns="http://schemas.openxmlformats.org/spreadsheetml/2006/main" count="5548" uniqueCount="558">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</sst>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 t="n">
        <v>2</v>
      </c>
      <c r="M4" s="13" t="n">
        <v>0</v>
      </c>
      <c r="N4" s="14" t="str">
        <f aca="false">IF(OR(M4="",L4=""),"",IF(L4&gt;M4,"I",IF(L4=M4,"X","II")))</f>
        <v>I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/>
      <c r="M5" s="13"/>
      <c r="N5" s="14" t="str">
        <f aca="false">IF(OR(M5="",L5=""),"",IF(L5&gt;M5,"I",IF(L5=M5,"X","II")))</f>
        <v/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3.0000000001</v>
      </c>
      <c r="L8" s="48" t="s">
        <v>229</v>
      </c>
      <c r="M8" s="9"/>
      <c r="N8" s="9"/>
      <c r="O8" s="49" t="n">
        <f aca="false">SUM(O9:O15)</f>
        <v>3.0000000001</v>
      </c>
      <c r="Q8" s="48" t="s">
        <v>229</v>
      </c>
      <c r="R8" s="9"/>
      <c r="S8" s="9"/>
      <c r="T8" s="49" t="n">
        <f aca="false">SUM(T9:T15)</f>
        <v>3.0000000001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5.0000000101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3.0000000001</v>
      </c>
      <c r="L9" s="50" t="s">
        <v>230</v>
      </c>
      <c r="M9" s="9"/>
      <c r="N9" s="9"/>
      <c r="O9" s="51" t="n">
        <f aca="false">O93</f>
        <v>3.0000000001</v>
      </c>
      <c r="Q9" s="50" t="s">
        <v>230</v>
      </c>
      <c r="R9" s="9"/>
      <c r="S9" s="9"/>
      <c r="T9" s="51" t="n">
        <f aca="false">T93</f>
        <v>3.0000000001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5.0000000101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2</v>
      </c>
      <c r="D21" s="52" t="n">
        <f aca="false">IF(Summary!M4="","",Summary!M4)</f>
        <v>0</v>
      </c>
      <c r="E21" s="14" t="str">
        <f aca="false">IF(OR(D21="",C21=""),"",IF(C21&gt;D21,"I",IF(C21=D21,"X","II")))</f>
        <v>I</v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3.0000000001</v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3.0000000001</v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3.0000000001</v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0</v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0</v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5.0000000101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str">
        <f aca="false">IF(Summary!L5="","",Summary!L5)</f>
        <v/>
      </c>
      <c r="D22" s="52" t="str">
        <f aca="false">IF(Summary!M5="","",Summary!M5)</f>
        <v/>
      </c>
      <c r="E22" s="14" t="str">
        <f aca="false">IF(OR(D22="",C22=""),"",IF(C22&gt;D22,"I",IF(C22=D22,"X","II")))</f>
        <v/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str">
        <f aca="false">IF($E22="","",IF(I22=$E22,$E$175,0)+IF(AND($C22=G22,$D22=H22),$E$176,0))</f>
        <v/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str">
        <f aca="false">IF($E22="","",IF(N22=$E22,$E$175,0)+IF(AND($C22=L22,$D22=M22),$E$176,0))</f>
        <v/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str">
        <f aca="false">IF($E22="","",IF(S22=$E22,$E$175,0)+IF(AND($C22=Q22,$D22=R22),$E$176,0))</f>
        <v/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str">
        <f aca="false">IF($E22="","",IF(X22=$E22,$E$175,0)+IF(AND($C22=V22,$D22=W22),$E$176,0))</f>
        <v/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str">
        <f aca="false">IF($E22="","",IF(AC22=$E22,$E$175,0)+IF(AND($C22=AA22,$D22=AB22),$E$176,0))</f>
        <v/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str">
        <f aca="false">IF($E22="","",IF(AH22=$E22,$E$175,0)+IF(AND($C22=AF22,$D22=AG22),$E$176,0))</f>
        <v/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str">
        <f aca="false">IF(Summary!L6="","",Summary!L6)</f>
        <v/>
      </c>
      <c r="D23" s="52" t="str">
        <f aca="false">IF(Summary!M6="","",Summary!M6)</f>
        <v/>
      </c>
      <c r="E23" s="14" t="str">
        <f aca="false">IF(OR(D23="",C23=""),"",IF(C23&gt;D23,"I",IF(C23=D23,"X","II")))</f>
        <v/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3.0000000001</v>
      </c>
      <c r="L93" s="9" t="s">
        <v>231</v>
      </c>
      <c r="M93" s="9"/>
      <c r="N93" s="9"/>
      <c r="O93" s="54" t="n">
        <f aca="false">SUM(O21:O92)</f>
        <v>3.0000000001</v>
      </c>
      <c r="Q93" s="9" t="s">
        <v>231</v>
      </c>
      <c r="R93" s="9"/>
      <c r="S93" s="9"/>
      <c r="T93" s="54" t="n">
        <f aca="false">SUM(T21:T92)</f>
        <v>3.0000000001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5.0000000101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0</v>
      </c>
      <c r="L94" s="9" t="s">
        <v>232</v>
      </c>
      <c r="M94" s="9"/>
      <c r="N94" s="9"/>
      <c r="O94" s="54" t="n">
        <f aca="false">COUNTIF(O21:O92,$E$175+$E$176)</f>
        <v>0</v>
      </c>
      <c r="Q94" s="9" t="s">
        <v>232</v>
      </c>
      <c r="R94" s="9"/>
      <c r="S94" s="9"/>
      <c r="T94" s="54" t="n">
        <f aca="false">COUNTIF(T21:T92,$E$175+$E$176)</f>
        <v>0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1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2026-06-11T21:16:31Z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